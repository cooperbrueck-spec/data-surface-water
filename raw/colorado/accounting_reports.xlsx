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9296" yWindow="3534" windowWidth="19392" windowHeight="10392" tabRatio="657" firstSheet="0" activeTab="3" autoFilterDateGrouping="1"/>
  </bookViews>
  <sheets>
    <sheet xmlns:r="http://schemas.openxmlformats.org/officeDocument/2006/relationships" name="Entitlements" sheetId="1" state="visible" r:id="rId1"/>
    <sheet xmlns:r="http://schemas.openxmlformats.org/officeDocument/2006/relationships" name="Diversion" sheetId="2" state="visible" r:id="rId2"/>
    <sheet xmlns:r="http://schemas.openxmlformats.org/officeDocument/2006/relationships" name="Ordered" sheetId="3" state="visible" r:id="rId3"/>
    <sheet xmlns:r="http://schemas.openxmlformats.org/officeDocument/2006/relationships" name="Transfer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5" sqref="A15"/>
    </sheetView>
  </sheetViews>
  <sheetFormatPr baseColWidth="8" defaultColWidth="9.140625" defaultRowHeight="12.75"/>
  <cols>
    <col width="42.42578125" bestFit="1" customWidth="1" style="3" min="1" max="1"/>
    <col width="10.140625" bestFit="1" customWidth="1" style="3" min="2" max="2"/>
    <col width="9.140625" customWidth="1" style="3" min="3" max="16384"/>
  </cols>
  <sheetData>
    <row r="1">
      <c r="A1" s="3" t="inlineStr">
        <is>
          <t>user</t>
        </is>
      </c>
      <c r="B1" s="3" t="inlineStr">
        <is>
          <t>entitlement</t>
        </is>
      </c>
    </row>
    <row r="2">
      <c r="A2" s="3" t="inlineStr">
        <is>
          <t>Bureau of Reclamation and Government Camp</t>
        </is>
      </c>
      <c r="B2" s="3" t="n">
        <v>0</v>
      </c>
    </row>
    <row r="3">
      <c r="A3" s="3" t="inlineStr">
        <is>
          <t>Chemehuevi Indian Reservation</t>
        </is>
      </c>
      <c r="B3" s="3">
        <f>11340</f>
        <v/>
      </c>
    </row>
    <row r="4">
      <c r="A4" s="3" t="inlineStr">
        <is>
          <t>City of Needles</t>
        </is>
      </c>
      <c r="B4" s="3">
        <f>1500+1260</f>
        <v/>
      </c>
    </row>
    <row r="5">
      <c r="A5" s="3" t="inlineStr">
        <is>
          <t>City of Winterhaven</t>
        </is>
      </c>
      <c r="B5" s="3" t="n">
        <v>262.8</v>
      </c>
    </row>
    <row r="6">
      <c r="A6" s="3" t="inlineStr">
        <is>
          <t>Coachella Valley Water District</t>
        </is>
      </c>
      <c r="B6" s="3">
        <f>327000</f>
        <v/>
      </c>
    </row>
    <row r="7">
      <c r="A7" s="3" t="inlineStr">
        <is>
          <t>Colorado River Indian Reservation</t>
        </is>
      </c>
      <c r="B7" s="3">
        <f>10745+40241+5860</f>
        <v/>
      </c>
    </row>
    <row r="8">
      <c r="A8" s="3" t="inlineStr">
        <is>
          <t>Fort Mojave Indian Reservation</t>
        </is>
      </c>
      <c r="B8" s="3">
        <f>16720</f>
        <v/>
      </c>
    </row>
    <row r="9">
      <c r="A9" s="3" t="inlineStr">
        <is>
          <t>Imperial Irrigation District</t>
        </is>
      </c>
      <c r="B9" s="3">
        <f>2600000+488500+300000*2/3</f>
        <v/>
      </c>
    </row>
    <row r="10">
      <c r="A10" s="3" t="inlineStr">
        <is>
          <t>Metropolitan Water District of Southern California</t>
        </is>
      </c>
      <c r="B10" s="3">
        <f>550000*2</f>
        <v/>
      </c>
    </row>
    <row r="11">
      <c r="A11" s="3" t="inlineStr">
        <is>
          <t>Other users</t>
        </is>
      </c>
      <c r="B11" s="3">
        <f>SUM(517.2,240,180,150,108,60,96,69,66,36,60,120,120,1*(25+11))</f>
        <v/>
      </c>
    </row>
    <row r="12">
      <c r="A12" s="3" t="inlineStr">
        <is>
          <t>Palo Verde Irrigation District</t>
        </is>
      </c>
      <c r="B12" s="3">
        <f>219780+300000/3+314720</f>
        <v/>
      </c>
    </row>
    <row r="13">
      <c r="A13" s="3" t="inlineStr">
        <is>
          <t>Picacho Development Corporation</t>
        </is>
      </c>
      <c r="B13" s="3" t="n">
        <v>120</v>
      </c>
    </row>
    <row r="14">
      <c r="A14" s="3" t="inlineStr">
        <is>
          <t>San Diego County Water Authority</t>
        </is>
      </c>
      <c r="B14" s="3" t="n">
        <v>112000</v>
      </c>
    </row>
    <row r="15">
      <c r="A15" s="3" t="inlineStr">
        <is>
          <t>Yuma Project Reservation Division</t>
        </is>
      </c>
      <c r="B15" s="3" t="n">
        <v>71616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"/>
  <sheetViews>
    <sheetView zoomScale="130" zoomScaleNormal="130" workbookViewId="0">
      <pane xSplit="1" ySplit="1" topLeftCell="B3" activePane="bottomRight" state="frozen"/>
      <selection pane="topRight" activeCell="B1" sqref="B1"/>
      <selection pane="bottomLeft" activeCell="A2" sqref="A2"/>
      <selection pane="bottomRight" activeCell="B18" sqref="B18"/>
    </sheetView>
  </sheetViews>
  <sheetFormatPr baseColWidth="8" defaultColWidth="9.140625" defaultRowHeight="12.75"/>
  <cols>
    <col width="51.140625" bestFit="1" customWidth="1" style="3" min="1" max="1"/>
    <col width="51.140625" customWidth="1" style="3" min="2" max="2"/>
    <col width="7.28515625" bestFit="1" customWidth="1" style="3" min="3" max="3"/>
    <col width="8" bestFit="1" customWidth="1" style="3" min="4" max="4"/>
    <col width="8" customWidth="1" style="3" min="5" max="7"/>
    <col width="8" bestFit="1" customWidth="1" style="3" min="8" max="9"/>
    <col width="9.140625" customWidth="1" style="3" min="10" max="21"/>
    <col width="10" bestFit="1" customWidth="1" style="3" min="22" max="22"/>
    <col width="9.140625" customWidth="1" style="3" min="23" max="16384"/>
  </cols>
  <sheetData>
    <row r="1" customFormat="1" s="1">
      <c r="A1" s="1" t="inlineStr">
        <is>
          <t>Diversions (acre-feet)</t>
        </is>
      </c>
      <c r="B1" t="n">
        <v>2025</v>
      </c>
      <c r="C1" t="n">
        <v>2024</v>
      </c>
      <c r="D1" t="n">
        <v>2023</v>
      </c>
      <c r="E1" t="n">
        <v>2022</v>
      </c>
      <c r="F1" s="1" t="n">
        <v>2021</v>
      </c>
      <c r="G1" s="1" t="n">
        <v>2020</v>
      </c>
      <c r="H1" s="1" t="n">
        <v>2019</v>
      </c>
      <c r="I1" s="1" t="n">
        <v>2018</v>
      </c>
      <c r="J1" s="1" t="n">
        <v>2017</v>
      </c>
      <c r="K1" s="1" t="n">
        <v>2016</v>
      </c>
      <c r="L1" s="1" t="n">
        <v>2015</v>
      </c>
      <c r="M1" s="1" t="n">
        <v>2014</v>
      </c>
      <c r="N1" s="1" t="n">
        <v>2013</v>
      </c>
      <c r="O1" s="1" t="n">
        <v>2012</v>
      </c>
      <c r="P1" s="1" t="n">
        <v>2011</v>
      </c>
      <c r="Q1" s="1" t="n">
        <v>2010</v>
      </c>
      <c r="R1" s="1" t="n">
        <v>2009</v>
      </c>
      <c r="S1" s="1" t="n">
        <v>2008</v>
      </c>
      <c r="T1" s="1" t="n">
        <v>2007</v>
      </c>
      <c r="U1" s="1" t="n">
        <v>2006</v>
      </c>
      <c r="V1" s="1" t="n">
        <v>2005</v>
      </c>
      <c r="W1" s="1" t="n">
        <v>2004</v>
      </c>
      <c r="X1" s="1" t="n">
        <v>2003</v>
      </c>
      <c r="Y1" s="1" t="n">
        <v>2002</v>
      </c>
      <c r="Z1" s="1" t="n">
        <v>2001</v>
      </c>
      <c r="AA1" s="1" t="n">
        <v>2000</v>
      </c>
      <c r="AB1" s="1" t="n">
        <v>1999</v>
      </c>
      <c r="AC1" s="1" t="n">
        <v>1998</v>
      </c>
      <c r="AD1" s="1" t="n">
        <v>1997</v>
      </c>
      <c r="AE1" s="1" t="n">
        <v>1996</v>
      </c>
      <c r="AF1" s="1" t="n">
        <v>1995</v>
      </c>
      <c r="AG1" s="1" t="n">
        <v>1994</v>
      </c>
      <c r="AH1" s="1" t="n">
        <v>1993</v>
      </c>
      <c r="AI1" s="1" t="n">
        <v>1992</v>
      </c>
      <c r="AJ1" s="1" t="n">
        <v>1991</v>
      </c>
      <c r="AK1" s="1" t="n">
        <v>1990</v>
      </c>
      <c r="AL1" s="1" t="n">
        <v>1989</v>
      </c>
      <c r="AM1" s="1" t="n">
        <v>1988</v>
      </c>
      <c r="AN1" s="1" t="n">
        <v>1987</v>
      </c>
      <c r="AO1" s="1" t="n">
        <v>1986</v>
      </c>
      <c r="AP1" s="1" t="n">
        <v>1985</v>
      </c>
      <c r="AQ1" s="1" t="n">
        <v>1984</v>
      </c>
      <c r="AR1" s="1" t="n">
        <v>1983</v>
      </c>
      <c r="AS1" s="1" t="n">
        <v>1982</v>
      </c>
      <c r="AT1" s="1" t="n">
        <v>1981</v>
      </c>
      <c r="AU1" s="1" t="n">
        <v>1980</v>
      </c>
    </row>
    <row r="2" ht="15" customHeight="1" s="4">
      <c r="A2" s="3" t="inlineStr">
        <is>
          <t>Fort Mojave Indian Reservation</t>
        </is>
      </c>
      <c r="B2" t="n">
        <v>12428</v>
      </c>
      <c r="C2" t="n">
        <v>10917</v>
      </c>
      <c r="D2" t="n">
        <v>12003</v>
      </c>
      <c r="E2" t="n">
        <v>12405</v>
      </c>
      <c r="F2" s="5" t="n">
        <v>13041</v>
      </c>
      <c r="G2" s="3" t="n">
        <v>13075</v>
      </c>
      <c r="H2" t="n">
        <v>9439</v>
      </c>
      <c r="I2" s="3" t="n">
        <v>14200</v>
      </c>
      <c r="J2" s="3" t="n">
        <v>13781</v>
      </c>
      <c r="K2" s="3" t="n">
        <v>11500</v>
      </c>
      <c r="L2" s="3" t="n">
        <v>15115</v>
      </c>
      <c r="M2" s="3" t="n">
        <v>16460</v>
      </c>
      <c r="N2" s="3" t="n">
        <v>15259</v>
      </c>
      <c r="O2" s="3" t="n">
        <v>15782</v>
      </c>
      <c r="P2" s="3" t="n">
        <v>14762</v>
      </c>
      <c r="Q2" s="3" t="n">
        <v>11720</v>
      </c>
      <c r="R2" s="3" t="n">
        <v>18099</v>
      </c>
      <c r="S2" s="3" t="n">
        <v>14868</v>
      </c>
      <c r="T2" s="3" t="n">
        <v>21275</v>
      </c>
      <c r="U2" s="3" t="n">
        <v>18795</v>
      </c>
      <c r="V2" s="3" t="n">
        <v>16282</v>
      </c>
      <c r="W2" s="3" t="n">
        <v>16008</v>
      </c>
      <c r="X2" s="3" t="n">
        <v>16435</v>
      </c>
      <c r="Y2" s="3" t="n">
        <v>16436</v>
      </c>
      <c r="Z2" s="3" t="n">
        <v>18457</v>
      </c>
      <c r="AA2" s="3" t="n">
        <v>23253</v>
      </c>
      <c r="AB2" s="3" t="n">
        <v>20959</v>
      </c>
      <c r="AC2" s="3" t="n">
        <v>26205</v>
      </c>
      <c r="AD2" s="3" t="n">
        <v>27241</v>
      </c>
      <c r="AE2" s="3" t="n">
        <v>30189</v>
      </c>
      <c r="AF2" s="3" t="n">
        <v>21364</v>
      </c>
      <c r="AG2" s="3" t="n">
        <v>22497</v>
      </c>
      <c r="AH2" s="3" t="n">
        <v>18725</v>
      </c>
      <c r="AI2" s="3" t="n">
        <v>20604</v>
      </c>
      <c r="AJ2" s="3" t="n">
        <v>19704</v>
      </c>
      <c r="AK2" s="3" t="n">
        <v>20760</v>
      </c>
      <c r="AL2" s="3" t="n">
        <v>21072</v>
      </c>
      <c r="AM2" s="3" t="n">
        <v>22344</v>
      </c>
      <c r="AN2" s="3" t="n">
        <v>19578</v>
      </c>
      <c r="AO2" s="3" t="n">
        <v>20276</v>
      </c>
      <c r="AP2" s="3" t="n">
        <v>16920</v>
      </c>
      <c r="AQ2" s="3" t="n">
        <v>20760</v>
      </c>
      <c r="AR2" s="3" t="n">
        <v>22352</v>
      </c>
      <c r="AS2" s="3" t="n">
        <v>20760</v>
      </c>
      <c r="AT2" s="3" t="n">
        <v>19128</v>
      </c>
      <c r="AU2" s="3" t="n">
        <v>11592</v>
      </c>
    </row>
    <row r="3">
      <c r="A3" s="3" t="inlineStr">
        <is>
          <t>City of Needles</t>
        </is>
      </c>
      <c r="B3" t="n">
        <v>1894</v>
      </c>
      <c r="C3" t="n">
        <v>1951</v>
      </c>
      <c r="D3" t="n">
        <v>1893</v>
      </c>
      <c r="E3" t="n">
        <v>2009</v>
      </c>
      <c r="F3" s="3" t="n">
        <v>1940</v>
      </c>
      <c r="G3" s="3" t="n">
        <v>1961</v>
      </c>
      <c r="H3" s="3" t="n">
        <v>1829</v>
      </c>
      <c r="I3" s="3" t="n">
        <v>1845</v>
      </c>
      <c r="J3" s="3" t="n">
        <v>1887</v>
      </c>
      <c r="K3" s="3" t="n">
        <v>1836</v>
      </c>
      <c r="L3" s="3" t="n">
        <v>1819</v>
      </c>
      <c r="M3" s="3" t="n">
        <v>2041</v>
      </c>
      <c r="N3" s="3" t="n">
        <v>2200</v>
      </c>
      <c r="O3" s="3" t="n">
        <v>2227</v>
      </c>
      <c r="P3" s="3" t="n">
        <v>1975</v>
      </c>
      <c r="Q3" s="3" t="n">
        <v>2343</v>
      </c>
      <c r="R3" s="3" t="n">
        <v>2441</v>
      </c>
      <c r="S3" s="3" t="n">
        <v>2481</v>
      </c>
      <c r="T3" s="3" t="n">
        <v>2587</v>
      </c>
      <c r="U3" s="3" t="n">
        <v>2626</v>
      </c>
      <c r="V3" s="3" t="n">
        <v>2461</v>
      </c>
      <c r="W3" s="3" t="n">
        <v>2097</v>
      </c>
      <c r="X3" s="3" t="n">
        <v>2583</v>
      </c>
      <c r="Y3" s="3" t="n">
        <v>2559</v>
      </c>
      <c r="Z3" s="3" t="n">
        <v>2717</v>
      </c>
      <c r="AA3" s="3" t="n">
        <v>2475</v>
      </c>
      <c r="AB3" s="3" t="n">
        <v>2588</v>
      </c>
      <c r="AC3" s="3" t="n">
        <v>2517</v>
      </c>
      <c r="AD3" s="3" t="n">
        <v>2833</v>
      </c>
      <c r="AE3" s="3" t="n">
        <v>3148</v>
      </c>
      <c r="AF3" s="3" t="n">
        <v>3119</v>
      </c>
      <c r="AG3" s="3" t="n">
        <v>3289</v>
      </c>
      <c r="AH3" s="3" t="n">
        <v>3709</v>
      </c>
      <c r="AI3" s="3">
        <f>2442+3373</f>
        <v/>
      </c>
      <c r="AJ3" s="3" t="n">
        <v>3266</v>
      </c>
      <c r="AK3" s="3" t="n">
        <v>3267</v>
      </c>
      <c r="AL3" s="3" t="n">
        <v>3395</v>
      </c>
      <c r="AM3" s="3" t="n">
        <v>3203</v>
      </c>
      <c r="AN3" s="3" t="n">
        <v>2981</v>
      </c>
      <c r="AO3" s="3" t="n">
        <v>2861</v>
      </c>
      <c r="AP3" s="3" t="n">
        <v>3049</v>
      </c>
      <c r="AQ3" s="3" t="n">
        <v>3334</v>
      </c>
      <c r="AR3" s="3" t="n">
        <v>2917</v>
      </c>
      <c r="AS3" s="3" t="n">
        <v>3114</v>
      </c>
      <c r="AT3" s="3" t="n">
        <v>3092</v>
      </c>
      <c r="AU3" s="3" t="n">
        <v>2930</v>
      </c>
    </row>
    <row r="4">
      <c r="A4" s="3" t="inlineStr">
        <is>
          <t>Chemehuevi Indian Reservation</t>
        </is>
      </c>
      <c r="B4" t="n">
        <v>250</v>
      </c>
      <c r="C4" t="n">
        <v>248</v>
      </c>
      <c r="D4" t="n">
        <v>212</v>
      </c>
      <c r="E4" t="n">
        <v>148</v>
      </c>
      <c r="F4" s="3" t="n">
        <v>175</v>
      </c>
      <c r="G4" s="3" t="n">
        <v>183</v>
      </c>
      <c r="H4" s="3" t="n">
        <v>153</v>
      </c>
      <c r="I4" s="3" t="n">
        <v>188</v>
      </c>
      <c r="J4" s="3" t="n">
        <v>489</v>
      </c>
      <c r="K4" s="3" t="n">
        <v>244</v>
      </c>
      <c r="L4" s="3" t="n">
        <v>221</v>
      </c>
      <c r="M4" s="3" t="n">
        <v>246</v>
      </c>
      <c r="N4" s="3" t="n">
        <v>226</v>
      </c>
      <c r="O4" s="3" t="n">
        <v>170</v>
      </c>
      <c r="P4" s="3" t="n">
        <v>174</v>
      </c>
      <c r="Q4" s="3" t="n">
        <v>145</v>
      </c>
      <c r="R4" s="3" t="n">
        <v>365</v>
      </c>
      <c r="S4" s="3" t="n">
        <v>365</v>
      </c>
      <c r="T4" s="3" t="n">
        <v>294</v>
      </c>
      <c r="U4" s="3" t="n">
        <v>294</v>
      </c>
      <c r="V4" s="3" t="n">
        <v>1496</v>
      </c>
      <c r="W4" s="3" t="n">
        <v>1444</v>
      </c>
      <c r="X4" s="3" t="n">
        <v>621</v>
      </c>
      <c r="Y4" s="3" t="n">
        <v>89</v>
      </c>
      <c r="Z4" s="3" t="n">
        <v>216</v>
      </c>
      <c r="AA4" s="3" t="n">
        <v>342</v>
      </c>
      <c r="AB4" s="3" t="n">
        <v>265</v>
      </c>
      <c r="AC4" s="3" t="n">
        <v>664</v>
      </c>
      <c r="AD4" s="3" t="n">
        <v>252</v>
      </c>
      <c r="AE4" s="3" t="n">
        <v>848</v>
      </c>
    </row>
    <row r="5">
      <c r="A5" s="3" t="inlineStr">
        <is>
          <t>Metropolitan Water District of Southern California</t>
        </is>
      </c>
      <c r="B5" t="n">
        <v>812927</v>
      </c>
      <c r="C5" t="n">
        <v>960608</v>
      </c>
      <c r="D5" t="n">
        <v>663943</v>
      </c>
      <c r="E5" t="n">
        <v>1129540</v>
      </c>
      <c r="F5" s="3" t="n">
        <v>1078121</v>
      </c>
      <c r="G5" s="3" t="n">
        <v>818220</v>
      </c>
      <c r="H5" s="3" t="n">
        <v>540208</v>
      </c>
      <c r="I5" s="3" t="n">
        <v>891844</v>
      </c>
      <c r="J5" s="3" t="n">
        <v>679767</v>
      </c>
      <c r="K5" s="3" t="n">
        <v>999819</v>
      </c>
      <c r="L5" s="3" t="n">
        <v>1181597</v>
      </c>
      <c r="M5" s="3" t="n">
        <v>1179094</v>
      </c>
      <c r="N5" s="3" t="n">
        <v>1015806</v>
      </c>
      <c r="O5" s="3" t="n">
        <v>739017</v>
      </c>
      <c r="P5" s="3" t="n">
        <v>542001</v>
      </c>
      <c r="Q5" s="3" t="n">
        <v>950083</v>
      </c>
      <c r="R5" s="3" t="n">
        <v>967495</v>
      </c>
      <c r="S5" s="3">
        <f>821212+6013</f>
        <v/>
      </c>
      <c r="T5" s="3">
        <f>638664+4500</f>
        <v/>
      </c>
      <c r="U5" s="3">
        <f>594544+172</f>
        <v/>
      </c>
      <c r="V5" s="3">
        <f>839704+10000</f>
        <v/>
      </c>
      <c r="W5" s="3">
        <f>733095+10000</f>
        <v/>
      </c>
      <c r="X5" s="3" t="n">
        <v>688043</v>
      </c>
      <c r="Y5" s="3" t="n">
        <v>1241088</v>
      </c>
      <c r="Z5" s="3" t="n">
        <v>1253579</v>
      </c>
      <c r="AA5" s="3" t="n">
        <v>1303148</v>
      </c>
      <c r="AB5" s="3" t="n">
        <v>1215224</v>
      </c>
      <c r="AC5" s="3" t="n">
        <v>1076295</v>
      </c>
      <c r="AD5" s="3" t="n">
        <v>1241821</v>
      </c>
      <c r="AE5" s="3" t="n">
        <v>1230353</v>
      </c>
      <c r="AF5" s="3" t="n">
        <v>997414</v>
      </c>
      <c r="AG5" s="3" t="n">
        <v>1303212</v>
      </c>
      <c r="AH5" s="3" t="n">
        <v>1207331</v>
      </c>
      <c r="AI5" s="3" t="n">
        <v>1197422</v>
      </c>
      <c r="AJ5" s="3" t="n">
        <v>1255720</v>
      </c>
      <c r="AK5" s="3" t="n">
        <v>1218321</v>
      </c>
      <c r="AL5" s="3" t="n">
        <v>1204578</v>
      </c>
      <c r="AM5" s="3" t="n">
        <v>1203571</v>
      </c>
      <c r="AN5" s="3" t="n">
        <v>1282277</v>
      </c>
      <c r="AO5" s="3" t="n">
        <v>1303276</v>
      </c>
      <c r="AP5" s="3" t="n">
        <v>1273236</v>
      </c>
      <c r="AQ5" s="3" t="n">
        <v>1237230</v>
      </c>
      <c r="AR5" s="3" t="n">
        <v>907564</v>
      </c>
      <c r="AS5" s="3" t="n">
        <v>716536</v>
      </c>
      <c r="AT5" s="3" t="n">
        <v>830228</v>
      </c>
      <c r="AU5" s="3" t="n">
        <v>821165</v>
      </c>
    </row>
    <row r="6">
      <c r="A6" s="3" t="inlineStr">
        <is>
          <t>Transfer from SDCWA to MWD (originally from IID)</t>
        </is>
      </c>
      <c r="B6" t="n">
        <v>0</v>
      </c>
      <c r="C6" t="n">
        <v>0</v>
      </c>
      <c r="D6" t="n">
        <v>0</v>
      </c>
      <c r="E6" t="n">
        <v>0</v>
      </c>
      <c r="F6" s="3" t="n">
        <v>0</v>
      </c>
      <c r="P6" s="3" t="n">
        <v>159965</v>
      </c>
      <c r="Q6" s="3" t="n">
        <v>151507</v>
      </c>
      <c r="R6" s="3" t="n">
        <v>140188</v>
      </c>
      <c r="S6" s="3" t="n">
        <v>80582</v>
      </c>
      <c r="T6" s="3" t="n">
        <v>73125</v>
      </c>
      <c r="U6" s="3" t="n">
        <v>40842</v>
      </c>
      <c r="V6" s="3" t="n">
        <v>30000</v>
      </c>
      <c r="W6" s="3" t="n">
        <v>20000</v>
      </c>
    </row>
    <row r="7">
      <c r="A7" s="3" t="inlineStr">
        <is>
          <t>Bureau of Reclamation and Government Camp</t>
        </is>
      </c>
      <c r="B7" t="n">
        <v>0</v>
      </c>
      <c r="C7" t="n">
        <v>0</v>
      </c>
      <c r="D7" t="n">
        <v>0</v>
      </c>
      <c r="E7" t="n">
        <v>0</v>
      </c>
      <c r="F7" s="3" t="n">
        <v>0</v>
      </c>
      <c r="G7" s="3" t="n">
        <v>0</v>
      </c>
      <c r="H7" s="3" t="n">
        <v>1</v>
      </c>
      <c r="I7" s="3" t="n">
        <v>1</v>
      </c>
      <c r="J7" s="3" t="n">
        <v>1</v>
      </c>
      <c r="K7" s="3" t="n">
        <v>1</v>
      </c>
      <c r="L7" s="3" t="n">
        <v>1</v>
      </c>
      <c r="M7" s="3" t="n">
        <v>65</v>
      </c>
      <c r="N7" s="3" t="n">
        <v>116</v>
      </c>
      <c r="O7" s="3" t="n">
        <v>107</v>
      </c>
      <c r="P7" s="3" t="n">
        <v>80</v>
      </c>
      <c r="Q7" s="3" t="n">
        <v>121</v>
      </c>
      <c r="R7" s="3" t="n">
        <v>110</v>
      </c>
      <c r="S7" s="3" t="n">
        <v>156</v>
      </c>
      <c r="T7" s="3" t="n">
        <v>197</v>
      </c>
      <c r="U7" s="3" t="n">
        <v>184</v>
      </c>
      <c r="V7" s="3" t="n">
        <v>165</v>
      </c>
      <c r="W7" s="3" t="n">
        <v>165</v>
      </c>
      <c r="X7" s="3" t="n">
        <v>156</v>
      </c>
      <c r="Y7" s="3" t="n">
        <v>165</v>
      </c>
      <c r="Z7" s="3" t="n">
        <v>167</v>
      </c>
      <c r="AA7" s="3" t="n">
        <v>205</v>
      </c>
      <c r="AB7" s="3" t="n">
        <v>141</v>
      </c>
      <c r="AC7" s="3" t="n">
        <v>121</v>
      </c>
      <c r="AD7" s="3" t="n">
        <v>189</v>
      </c>
      <c r="AE7" s="3" t="n">
        <v>290</v>
      </c>
      <c r="AF7" s="3" t="n">
        <v>237</v>
      </c>
      <c r="AG7" s="3" t="n">
        <v>276</v>
      </c>
      <c r="AH7" s="3" t="n">
        <v>283</v>
      </c>
      <c r="AI7" s="3" t="n">
        <v>301</v>
      </c>
      <c r="AJ7" s="3" t="n">
        <v>222</v>
      </c>
      <c r="AK7" s="3" t="n">
        <v>237</v>
      </c>
      <c r="AL7" s="3" t="n">
        <v>308</v>
      </c>
      <c r="AM7" s="3" t="n">
        <v>273</v>
      </c>
      <c r="AN7" s="3" t="n">
        <v>255</v>
      </c>
      <c r="AO7" s="3" t="n">
        <v>238</v>
      </c>
      <c r="AP7" s="3" t="n">
        <v>185</v>
      </c>
      <c r="AQ7" s="3" t="n">
        <v>171</v>
      </c>
      <c r="AR7" s="3" t="n">
        <v>143</v>
      </c>
      <c r="AS7" s="3" t="n">
        <v>228</v>
      </c>
      <c r="AT7" s="3" t="n">
        <v>280</v>
      </c>
      <c r="AU7" s="3" t="n">
        <v>273</v>
      </c>
    </row>
    <row r="8" ht="15" customHeight="1" s="4">
      <c r="A8" s="3" t="inlineStr">
        <is>
          <t>Colorado River Indian Reservation</t>
        </is>
      </c>
      <c r="B8" t="n">
        <v>2618</v>
      </c>
      <c r="C8" t="n">
        <v>2860</v>
      </c>
      <c r="D8" t="n">
        <v>3037</v>
      </c>
      <c r="E8" t="n">
        <v>2583</v>
      </c>
      <c r="F8" s="3" t="n">
        <v>788</v>
      </c>
      <c r="G8" s="3" t="n">
        <v>877</v>
      </c>
      <c r="H8" t="n">
        <v>827</v>
      </c>
      <c r="I8" s="3" t="n">
        <v>1853</v>
      </c>
      <c r="J8" s="3" t="n">
        <v>2433</v>
      </c>
      <c r="K8" s="3" t="n">
        <v>4654</v>
      </c>
      <c r="L8" s="3" t="n">
        <v>4522</v>
      </c>
      <c r="M8" s="3" t="n">
        <v>4821</v>
      </c>
      <c r="N8" s="3" t="n">
        <v>4740</v>
      </c>
      <c r="O8" s="3" t="n">
        <v>4740</v>
      </c>
      <c r="P8" s="3" t="n">
        <v>4717</v>
      </c>
      <c r="Q8" s="3" t="n">
        <v>5693</v>
      </c>
      <c r="R8" s="3">
        <f>4230+723</f>
        <v/>
      </c>
      <c r="S8" s="3">
        <f>4230+753</f>
        <v/>
      </c>
      <c r="T8" s="3">
        <f>4250+1346</f>
        <v/>
      </c>
      <c r="U8" s="3">
        <f>4407+1426</f>
        <v/>
      </c>
      <c r="V8" s="3" t="n">
        <v>5758</v>
      </c>
      <c r="W8" s="3">
        <f>4754+1477</f>
        <v/>
      </c>
      <c r="X8" s="3">
        <f>2857+1551</f>
        <v/>
      </c>
      <c r="Y8" s="3">
        <f>2068+1652</f>
        <v/>
      </c>
      <c r="Z8" s="3">
        <f>2643+1653</f>
        <v/>
      </c>
      <c r="AA8" s="3">
        <f>1839+1719</f>
        <v/>
      </c>
      <c r="AB8" s="3">
        <f>4117+1671</f>
        <v/>
      </c>
      <c r="AC8" s="3" t="n">
        <v>10937</v>
      </c>
      <c r="AD8" s="3" t="n">
        <v>4496</v>
      </c>
      <c r="AE8" s="3" t="n">
        <v>7320</v>
      </c>
      <c r="AF8" s="3" t="n">
        <v>8840</v>
      </c>
      <c r="AG8" s="3">
        <f>900+5801</f>
        <v/>
      </c>
      <c r="AH8" s="3" t="n">
        <v>7787</v>
      </c>
      <c r="AI8" s="3" t="n">
        <v>9793</v>
      </c>
      <c r="AJ8" s="3">
        <f>906+7542</f>
        <v/>
      </c>
      <c r="AK8" s="3">
        <f>4156+1224</f>
        <v/>
      </c>
      <c r="AL8" s="3" t="n">
        <v>3682</v>
      </c>
      <c r="AM8" s="3" t="n">
        <v>2450</v>
      </c>
      <c r="AN8" s="3">
        <f>4898+834</f>
        <v/>
      </c>
      <c r="AO8" s="3" t="n">
        <v>4035</v>
      </c>
      <c r="AP8" s="3" t="n">
        <v>4923</v>
      </c>
      <c r="AQ8" s="3">
        <f>3670+890</f>
        <v/>
      </c>
      <c r="AR8" s="3">
        <f>3430+2224</f>
        <v/>
      </c>
      <c r="AS8" s="3" t="n">
        <v>3407</v>
      </c>
      <c r="AT8" s="3" t="n">
        <v>14046</v>
      </c>
      <c r="AU8" s="3">
        <f>10771+1270</f>
        <v/>
      </c>
    </row>
    <row r="9">
      <c r="A9" s="3" t="inlineStr">
        <is>
          <t>City of Winterhaven</t>
        </is>
      </c>
      <c r="B9" t="n">
        <v>62</v>
      </c>
      <c r="C9" t="n">
        <v>57</v>
      </c>
      <c r="D9" t="n">
        <v>59</v>
      </c>
      <c r="E9" t="n">
        <v>66</v>
      </c>
      <c r="F9" s="3" t="n">
        <v>72</v>
      </c>
      <c r="G9" s="3" t="n">
        <v>87</v>
      </c>
      <c r="H9" s="3" t="n">
        <v>83</v>
      </c>
      <c r="J9" s="3" t="n">
        <v>97</v>
      </c>
      <c r="K9" s="3" t="n">
        <v>98</v>
      </c>
      <c r="N9" s="3" t="n">
        <v>103</v>
      </c>
      <c r="O9" s="3" t="n">
        <v>102</v>
      </c>
      <c r="P9" s="3" t="n">
        <v>104</v>
      </c>
      <c r="Q9" s="3" t="n">
        <v>104</v>
      </c>
      <c r="R9" s="3" t="n">
        <v>99</v>
      </c>
      <c r="S9" s="3" t="n">
        <v>108</v>
      </c>
      <c r="T9" s="3" t="n">
        <v>106</v>
      </c>
      <c r="U9" s="3" t="n">
        <v>106</v>
      </c>
      <c r="V9" s="3" t="n">
        <v>104</v>
      </c>
      <c r="W9" s="3" t="n">
        <v>124</v>
      </c>
      <c r="X9" s="3" t="n">
        <v>128</v>
      </c>
      <c r="Y9" s="3" t="n">
        <v>128</v>
      </c>
      <c r="Z9" s="3" t="n">
        <v>132</v>
      </c>
      <c r="AA9" s="3" t="n">
        <v>124</v>
      </c>
      <c r="AB9" s="3" t="n">
        <v>124</v>
      </c>
      <c r="AC9" s="3" t="n">
        <v>135</v>
      </c>
      <c r="AD9" s="3" t="n">
        <v>130</v>
      </c>
      <c r="AE9" s="3" t="n">
        <v>136</v>
      </c>
      <c r="AF9" s="3" t="n">
        <v>129</v>
      </c>
      <c r="AG9" s="3" t="n">
        <v>134</v>
      </c>
      <c r="AH9" s="3" t="n">
        <v>120</v>
      </c>
      <c r="AI9" s="3" t="n">
        <v>126</v>
      </c>
      <c r="AJ9" s="3" t="n">
        <v>129</v>
      </c>
      <c r="AK9" s="3" t="n">
        <v>125</v>
      </c>
      <c r="AL9" s="3" t="n">
        <v>142</v>
      </c>
      <c r="AM9" s="3" t="n">
        <v>127</v>
      </c>
      <c r="AN9" s="3" t="n">
        <v>122</v>
      </c>
      <c r="AO9" s="3" t="n">
        <v>101</v>
      </c>
      <c r="AP9" s="3" t="n">
        <v>101</v>
      </c>
      <c r="AQ9" s="3" t="n">
        <v>80</v>
      </c>
      <c r="AR9" s="3" t="n">
        <v>113</v>
      </c>
      <c r="AS9" s="3" t="n">
        <v>119</v>
      </c>
      <c r="AT9" s="3" t="n">
        <v>140</v>
      </c>
      <c r="AU9" s="3" t="n">
        <v>128</v>
      </c>
    </row>
    <row r="10" ht="15" customHeight="1" s="4">
      <c r="A10" s="3" t="inlineStr">
        <is>
          <t>Palo Verde Irrigation District</t>
        </is>
      </c>
      <c r="B10" t="n">
        <v>636830</v>
      </c>
      <c r="C10" t="n">
        <v>688110</v>
      </c>
      <c r="D10" t="n">
        <v>689859</v>
      </c>
      <c r="E10" t="n">
        <v>782330</v>
      </c>
      <c r="F10" s="3" t="n">
        <v>808850</v>
      </c>
      <c r="G10" s="3" t="n">
        <v>792060</v>
      </c>
      <c r="H10" t="n">
        <v>799070</v>
      </c>
      <c r="I10" s="3" t="n">
        <v>771370</v>
      </c>
      <c r="J10" s="3" t="n">
        <v>732870</v>
      </c>
      <c r="K10" s="3" t="n">
        <v>775220</v>
      </c>
      <c r="L10" s="3" t="n">
        <v>866840</v>
      </c>
      <c r="M10" s="3" t="n">
        <v>948630</v>
      </c>
      <c r="N10" s="3" t="n">
        <v>972270</v>
      </c>
      <c r="O10" s="3" t="n">
        <v>893880</v>
      </c>
      <c r="P10" s="3" t="n">
        <v>810260</v>
      </c>
      <c r="Q10" s="3" t="n">
        <v>716600</v>
      </c>
      <c r="R10" s="3" t="n">
        <v>746790</v>
      </c>
      <c r="S10" s="3" t="n">
        <v>881220</v>
      </c>
      <c r="T10" s="3" t="n">
        <v>917090</v>
      </c>
      <c r="U10" s="3" t="n">
        <v>851320</v>
      </c>
      <c r="V10" s="3" t="n">
        <v>800460</v>
      </c>
      <c r="W10" s="3" t="n">
        <v>969040</v>
      </c>
      <c r="X10" s="3" t="n">
        <v>917360</v>
      </c>
      <c r="Y10" s="3" t="n">
        <v>998610</v>
      </c>
      <c r="Z10" s="3" t="n">
        <v>944740</v>
      </c>
      <c r="AA10" s="3" t="n">
        <v>962760</v>
      </c>
      <c r="AB10" s="3" t="n">
        <v>938870</v>
      </c>
      <c r="AC10" s="3" t="n">
        <v>918910</v>
      </c>
      <c r="AD10" s="3" t="n">
        <v>917520</v>
      </c>
      <c r="AE10" s="3" t="n">
        <v>953010</v>
      </c>
      <c r="AF10" s="3" t="n">
        <v>861800</v>
      </c>
      <c r="AG10" s="3" t="n">
        <v>800370</v>
      </c>
      <c r="AH10" s="3" t="n">
        <v>737100</v>
      </c>
      <c r="AI10" s="3" t="n">
        <v>768160</v>
      </c>
      <c r="AJ10" s="3" t="n">
        <v>851920</v>
      </c>
      <c r="AK10" s="3" t="n">
        <v>917480</v>
      </c>
      <c r="AL10" s="3" t="n">
        <v>935426</v>
      </c>
      <c r="AM10" s="3" t="n">
        <v>898650</v>
      </c>
      <c r="AN10" s="3" t="n">
        <v>864570</v>
      </c>
      <c r="AO10" s="3" t="n">
        <v>872976</v>
      </c>
      <c r="AP10" s="3" t="n">
        <v>879896</v>
      </c>
      <c r="AQ10" s="3" t="n">
        <v>834905</v>
      </c>
      <c r="AR10" s="3" t="n">
        <v>786664</v>
      </c>
      <c r="AS10" s="3" t="n">
        <v>941974</v>
      </c>
      <c r="AT10" s="3" t="n">
        <v>1007553</v>
      </c>
      <c r="AU10" s="3" t="n">
        <v>906455</v>
      </c>
    </row>
    <row r="11">
      <c r="A11" s="3" t="inlineStr">
        <is>
          <t>Picacho Development Corporation</t>
        </is>
      </c>
      <c r="B11" t="n">
        <v>0</v>
      </c>
      <c r="C11" t="n">
        <v>0</v>
      </c>
      <c r="D11" t="n">
        <v>0</v>
      </c>
      <c r="E11" t="n">
        <v>0</v>
      </c>
      <c r="F11" s="3" t="n">
        <v>0</v>
      </c>
      <c r="AI11" s="3" t="n">
        <v>113</v>
      </c>
      <c r="AJ11" s="3" t="n">
        <v>107</v>
      </c>
    </row>
    <row r="12">
      <c r="A12" s="3" t="inlineStr">
        <is>
          <t>Yuma Project Reservation Division, Indian Unit</t>
        </is>
      </c>
      <c r="B12" t="n">
        <v>34579</v>
      </c>
      <c r="C12" t="n">
        <v>41349</v>
      </c>
      <c r="D12" t="n">
        <v>41703</v>
      </c>
      <c r="E12" t="n">
        <v>44097</v>
      </c>
      <c r="F12" s="3" t="n">
        <v>44540</v>
      </c>
      <c r="G12" s="3" t="n">
        <v>46380</v>
      </c>
      <c r="H12" s="3" t="n">
        <v>44018</v>
      </c>
      <c r="I12" s="3" t="n">
        <v>42639</v>
      </c>
      <c r="J12" s="3" t="n">
        <v>44440</v>
      </c>
      <c r="K12" s="3" t="n">
        <v>44781</v>
      </c>
      <c r="L12" s="3" t="n">
        <v>47047</v>
      </c>
      <c r="M12" s="3" t="n">
        <v>47195</v>
      </c>
      <c r="N12" s="3" t="n">
        <v>46367</v>
      </c>
      <c r="O12" s="3" t="n">
        <v>45443</v>
      </c>
      <c r="P12" s="3" t="n">
        <v>44247</v>
      </c>
      <c r="Q12" s="3">
        <f>40761+795</f>
        <v/>
      </c>
      <c r="R12" s="3">
        <f>37023+795</f>
        <v/>
      </c>
      <c r="S12" s="3">
        <f>45249+795</f>
        <v/>
      </c>
      <c r="T12" s="3">
        <f>44496+794</f>
        <v/>
      </c>
      <c r="U12" s="3" t="n">
        <v>38187</v>
      </c>
      <c r="V12" s="3" t="n">
        <v>44803</v>
      </c>
      <c r="W12" s="3" t="n">
        <v>46256</v>
      </c>
      <c r="X12" s="3" t="n">
        <v>46352</v>
      </c>
      <c r="Y12" s="3" t="n">
        <v>47084</v>
      </c>
      <c r="Z12" s="3" t="n">
        <v>40992</v>
      </c>
      <c r="AA12" s="3" t="n">
        <v>31269</v>
      </c>
      <c r="AB12" s="3" t="n">
        <v>31350</v>
      </c>
      <c r="AC12" s="3" t="n">
        <v>31386</v>
      </c>
      <c r="AD12" s="3" t="n">
        <v>31008</v>
      </c>
      <c r="AE12" s="3" t="n">
        <v>33196</v>
      </c>
      <c r="AF12" s="3" t="n">
        <v>38939</v>
      </c>
      <c r="AG12" s="3" t="n">
        <v>49374</v>
      </c>
      <c r="AH12" s="3" t="n">
        <v>45475</v>
      </c>
      <c r="AI12" s="3" t="n">
        <v>49572</v>
      </c>
      <c r="AJ12" s="3" t="n">
        <v>49613</v>
      </c>
      <c r="AK12" s="3" t="n">
        <v>49638</v>
      </c>
      <c r="AL12" s="3" t="n">
        <v>63558</v>
      </c>
      <c r="AM12" s="3" t="n">
        <v>43888</v>
      </c>
      <c r="AN12" s="3" t="n">
        <v>32381</v>
      </c>
      <c r="AO12" s="3" t="n">
        <v>29896</v>
      </c>
      <c r="AP12" s="3" t="n">
        <v>29896</v>
      </c>
      <c r="AQ12" s="3" t="n">
        <v>26751</v>
      </c>
      <c r="AR12" s="3" t="n">
        <v>22485</v>
      </c>
      <c r="AS12" s="3" t="n">
        <v>40005</v>
      </c>
      <c r="AT12" s="3" t="n">
        <v>43767</v>
      </c>
      <c r="AU12" s="3" t="n">
        <v>42432</v>
      </c>
    </row>
    <row r="13">
      <c r="A13" s="3" t="inlineStr">
        <is>
          <t>Yuma Project Reservation Division, Bard Unit</t>
        </is>
      </c>
      <c r="B13" t="n">
        <v>25720</v>
      </c>
      <c r="C13" t="n">
        <v>31807</v>
      </c>
      <c r="D13" t="n">
        <v>33226</v>
      </c>
      <c r="E13" t="n">
        <v>38725</v>
      </c>
      <c r="F13" s="3" t="n">
        <v>33461</v>
      </c>
      <c r="G13" s="3" t="n">
        <v>35843</v>
      </c>
      <c r="H13" s="3" t="n">
        <v>36261</v>
      </c>
      <c r="I13" s="3" t="n">
        <v>42952</v>
      </c>
      <c r="J13" s="3" t="n">
        <v>37986</v>
      </c>
      <c r="K13" s="3" t="n">
        <v>47709</v>
      </c>
      <c r="L13" s="3" t="n">
        <v>48561</v>
      </c>
      <c r="M13" s="3" t="n">
        <v>51080</v>
      </c>
      <c r="N13" s="3" t="n">
        <v>49512</v>
      </c>
      <c r="O13" s="3" t="n">
        <v>50729</v>
      </c>
      <c r="P13" s="3" t="n">
        <v>49552</v>
      </c>
      <c r="Q13" s="3" t="n">
        <v>39551</v>
      </c>
      <c r="R13" s="3" t="n">
        <v>43550</v>
      </c>
      <c r="S13" s="3" t="n">
        <v>44568</v>
      </c>
      <c r="T13" s="3" t="n">
        <v>43454</v>
      </c>
      <c r="U13" s="3" t="n">
        <v>40757</v>
      </c>
      <c r="V13" s="3" t="n">
        <v>38537</v>
      </c>
      <c r="W13" s="3" t="n">
        <v>37457</v>
      </c>
      <c r="X13" s="3" t="n">
        <v>46977</v>
      </c>
      <c r="Y13" s="3" t="n">
        <v>47221</v>
      </c>
      <c r="Z13" s="3" t="n">
        <v>46180</v>
      </c>
      <c r="AA13" s="3" t="n">
        <v>50863</v>
      </c>
      <c r="AB13" s="3" t="n">
        <v>48800</v>
      </c>
      <c r="AC13" s="3" t="n">
        <v>49812</v>
      </c>
      <c r="AD13" s="3" t="n">
        <v>53179</v>
      </c>
      <c r="AE13" s="3" t="n">
        <v>56412</v>
      </c>
      <c r="AF13" s="3" t="n">
        <v>52843</v>
      </c>
      <c r="AG13" s="3" t="n">
        <v>55610</v>
      </c>
      <c r="AH13" s="3" t="n">
        <v>51510</v>
      </c>
      <c r="AI13" s="3" t="n">
        <v>46442</v>
      </c>
      <c r="AJ13" s="3" t="n">
        <v>53966</v>
      </c>
      <c r="AK13" s="3" t="n">
        <v>52886</v>
      </c>
      <c r="AL13" s="3" t="n">
        <v>40017</v>
      </c>
      <c r="AM13" s="3" t="n">
        <v>53226</v>
      </c>
      <c r="AN13" s="3" t="n">
        <v>49048</v>
      </c>
      <c r="AO13" s="3" t="n">
        <v>46293</v>
      </c>
      <c r="AP13" s="3" t="n">
        <v>46293</v>
      </c>
      <c r="AQ13" s="3" t="n">
        <v>40452</v>
      </c>
      <c r="AR13" s="3" t="n">
        <v>40667</v>
      </c>
      <c r="AS13" s="3" t="n">
        <v>47811</v>
      </c>
      <c r="AT13" s="3" t="n">
        <v>50740</v>
      </c>
      <c r="AU13" s="3" t="n">
        <v>47676</v>
      </c>
    </row>
    <row r="14" ht="15" customHeight="1" s="4">
      <c r="A14" s="3" t="inlineStr">
        <is>
          <t>Imperial Irrigation District</t>
        </is>
      </c>
      <c r="B14" t="n">
        <v>2189521</v>
      </c>
      <c r="C14" t="n">
        <v>2290264</v>
      </c>
      <c r="D14" t="n">
        <v>2423475</v>
      </c>
      <c r="E14" t="n">
        <v>2613035</v>
      </c>
      <c r="F14" s="3" t="n">
        <v>2617910</v>
      </c>
      <c r="G14" s="3" t="n">
        <v>2487376</v>
      </c>
      <c r="H14" t="n">
        <v>2529797</v>
      </c>
      <c r="I14" s="3" t="n">
        <v>2515215</v>
      </c>
      <c r="J14" s="3" t="n">
        <v>2488615</v>
      </c>
      <c r="K14" s="3" t="n">
        <v>2461562</v>
      </c>
      <c r="L14" s="3" t="n">
        <v>2455649</v>
      </c>
      <c r="M14" s="3" t="n">
        <v>2496428</v>
      </c>
      <c r="N14" s="3" t="n">
        <v>2535452</v>
      </c>
      <c r="O14" s="3" t="n">
        <v>2897602</v>
      </c>
      <c r="P14" s="3" t="n">
        <v>2899353</v>
      </c>
      <c r="Q14" s="3" t="n">
        <v>2640769</v>
      </c>
      <c r="R14" s="3" t="n">
        <v>2679356</v>
      </c>
      <c r="S14" s="3" t="n">
        <v>2919108</v>
      </c>
      <c r="T14" s="3" t="n">
        <v>2952526</v>
      </c>
      <c r="U14" s="3" t="n">
        <v>2994325</v>
      </c>
      <c r="V14" s="3" t="n">
        <v>2860526</v>
      </c>
      <c r="W14" s="3" t="n">
        <v>2822794</v>
      </c>
      <c r="X14" s="3" t="n">
        <v>3066361</v>
      </c>
      <c r="Y14" s="3" t="n">
        <v>3230352</v>
      </c>
      <c r="Z14" s="3" t="n">
        <v>3190927</v>
      </c>
      <c r="AA14" s="3" t="n">
        <v>3162184</v>
      </c>
      <c r="AB14" s="3" t="n">
        <v>3122480</v>
      </c>
      <c r="AC14" s="3" t="n">
        <v>3148164</v>
      </c>
      <c r="AD14" s="3" t="n">
        <v>3235259</v>
      </c>
      <c r="AE14" s="3" t="n">
        <v>3275453</v>
      </c>
      <c r="AF14" s="3" t="n">
        <v>3171927</v>
      </c>
      <c r="AG14" s="3" t="n">
        <v>3172082</v>
      </c>
      <c r="AH14" s="3" t="n">
        <v>2886565</v>
      </c>
      <c r="AI14" s="3" t="n">
        <v>2675901</v>
      </c>
      <c r="AJ14" s="3" t="n">
        <v>2985723</v>
      </c>
      <c r="AK14" s="3" t="n">
        <v>3135301</v>
      </c>
      <c r="AL14" s="3" t="n">
        <v>3085811</v>
      </c>
      <c r="AM14" s="3" t="n">
        <v>3014187</v>
      </c>
      <c r="AN14" s="3" t="n">
        <v>2815986</v>
      </c>
      <c r="AO14" s="3" t="n">
        <v>2717913</v>
      </c>
      <c r="AP14" s="3" t="n">
        <v>2717913</v>
      </c>
      <c r="AQ14" s="3" t="n">
        <v>2682700</v>
      </c>
      <c r="AR14" s="3" t="n">
        <v>2555617</v>
      </c>
      <c r="AS14" s="3" t="n">
        <v>2595578</v>
      </c>
      <c r="AT14" s="3" t="n">
        <v>2872289</v>
      </c>
      <c r="AU14" s="3" t="n">
        <v>2845779</v>
      </c>
    </row>
    <row r="15">
      <c r="A15" s="3" t="inlineStr">
        <is>
          <t>Transfer to San Diego County Water Authority</t>
        </is>
      </c>
      <c r="B15" t="n">
        <v>0</v>
      </c>
      <c r="C15" t="n">
        <v>0</v>
      </c>
      <c r="D15" t="n">
        <v>0</v>
      </c>
      <c r="E15" t="n">
        <v>0</v>
      </c>
      <c r="F15" s="3" t="n">
        <v>0</v>
      </c>
      <c r="G15" s="3" t="n">
        <v>0</v>
      </c>
      <c r="H15" s="3" t="n">
        <v>17</v>
      </c>
      <c r="I15" s="3" t="n">
        <v>150</v>
      </c>
      <c r="J15" s="3" t="n">
        <v>110424</v>
      </c>
      <c r="K15" s="3" t="n">
        <v>135819</v>
      </c>
      <c r="L15" s="3" t="n">
        <v>163810</v>
      </c>
      <c r="M15" s="3" t="n">
        <v>94037</v>
      </c>
      <c r="N15" s="3" t="n">
        <v>75015</v>
      </c>
      <c r="O15" s="3" t="n">
        <v>16081</v>
      </c>
      <c r="P15" s="3" t="n">
        <v>0</v>
      </c>
      <c r="Q15" s="3" t="n">
        <v>83462</v>
      </c>
      <c r="R15" s="3" t="n">
        <v>31700</v>
      </c>
      <c r="S15" s="3" t="n">
        <v>27173</v>
      </c>
      <c r="T15" s="3" t="n">
        <v>23871</v>
      </c>
      <c r="U15" s="3" t="n">
        <v>0</v>
      </c>
      <c r="V15" s="3" t="n">
        <v>0</v>
      </c>
      <c r="W15" s="3" t="n">
        <v>14929</v>
      </c>
    </row>
    <row r="16">
      <c r="A16" s="3" t="inlineStr">
        <is>
          <t>Coachella Valley Water District</t>
        </is>
      </c>
      <c r="B16" t="n">
        <v>337717</v>
      </c>
      <c r="C16" t="n">
        <v>337072</v>
      </c>
      <c r="D16" t="n">
        <v>302276</v>
      </c>
      <c r="E16" t="n">
        <v>350590</v>
      </c>
      <c r="F16" s="3" t="n">
        <v>380735</v>
      </c>
      <c r="G16" s="3" t="n">
        <v>371588</v>
      </c>
      <c r="H16" s="3" t="n">
        <v>358675</v>
      </c>
      <c r="I16" s="3" t="n">
        <v>346367</v>
      </c>
      <c r="J16" s="3" t="n">
        <v>343930</v>
      </c>
      <c r="K16" s="3" t="n">
        <v>372371</v>
      </c>
      <c r="L16" s="3" t="n">
        <v>360381</v>
      </c>
      <c r="M16" s="3" t="n">
        <v>366779</v>
      </c>
      <c r="N16" s="3" t="n">
        <v>345604</v>
      </c>
      <c r="O16" s="3" t="n">
        <v>344923</v>
      </c>
      <c r="P16" s="3" t="n">
        <v>320573</v>
      </c>
      <c r="Q16" s="3" t="n">
        <v>319098</v>
      </c>
      <c r="R16" s="3" t="n">
        <v>322730</v>
      </c>
      <c r="S16" s="3" t="n">
        <v>310159</v>
      </c>
      <c r="T16" s="3" t="n">
        <v>321174</v>
      </c>
      <c r="U16" s="3" t="n">
        <v>339065</v>
      </c>
      <c r="V16" s="3" t="n">
        <v>316479</v>
      </c>
      <c r="W16" s="3" t="n">
        <v>328333</v>
      </c>
      <c r="X16" s="3" t="n">
        <v>305923</v>
      </c>
      <c r="Y16" s="3" t="n">
        <v>339506</v>
      </c>
      <c r="Z16" s="3" t="n">
        <v>335932</v>
      </c>
      <c r="AA16" s="3" t="n">
        <v>348747</v>
      </c>
      <c r="AB16" s="3" t="n">
        <v>337509</v>
      </c>
      <c r="AC16" s="3" t="n">
        <v>342597</v>
      </c>
      <c r="AD16" s="3" t="n">
        <v>346489</v>
      </c>
      <c r="AE16" s="3" t="n">
        <v>343828</v>
      </c>
      <c r="AF16" s="3" t="n">
        <v>337805</v>
      </c>
      <c r="AG16" s="3" t="n">
        <v>339530</v>
      </c>
      <c r="AH16" s="3" t="n">
        <v>332654</v>
      </c>
      <c r="AI16" s="3" t="n">
        <v>321955</v>
      </c>
      <c r="AJ16" s="3" t="n">
        <v>327417</v>
      </c>
      <c r="AK16" s="3" t="n">
        <v>379619</v>
      </c>
      <c r="AL16" s="3" t="n">
        <v>368590</v>
      </c>
      <c r="AM16" s="3" t="n">
        <v>339311</v>
      </c>
      <c r="AN16" s="3" t="n">
        <v>338754</v>
      </c>
      <c r="AO16" s="3" t="n">
        <v>341040</v>
      </c>
      <c r="AP16" s="3" t="n">
        <v>341040</v>
      </c>
      <c r="AQ16" s="3" t="n">
        <v>357975</v>
      </c>
      <c r="AR16" s="3" t="n">
        <v>362266</v>
      </c>
      <c r="AS16" s="3" t="n">
        <v>424868</v>
      </c>
      <c r="AT16" s="3" t="n">
        <v>452260</v>
      </c>
      <c r="AU16" s="3" t="n">
        <v>531791</v>
      </c>
    </row>
    <row r="17">
      <c r="A17" s="3" t="inlineStr">
        <is>
          <t>Other users</t>
        </is>
      </c>
      <c r="B17" t="n">
        <v>9595</v>
      </c>
      <c r="C17" t="n">
        <v>13467</v>
      </c>
      <c r="D17" t="n">
        <v>12816</v>
      </c>
      <c r="E17" t="n">
        <v>12642</v>
      </c>
      <c r="F17" s="3" t="n">
        <v>11091</v>
      </c>
      <c r="G17" s="3" t="n">
        <v>11207</v>
      </c>
      <c r="H17" s="3">
        <f>4329425-SUM(D2:D16)</f>
        <v/>
      </c>
      <c r="I17" s="3">
        <f>4639003-SUM(E2:E16)</f>
        <v/>
      </c>
      <c r="J17" s="3">
        <f>4467987-SUM(F2:F16)</f>
        <v/>
      </c>
      <c r="K17" s="3">
        <f>4868599-SUM(G2:G16)</f>
        <v/>
      </c>
      <c r="L17" s="3" t="n">
        <v>11437</v>
      </c>
      <c r="M17" s="3" t="n">
        <v>13256</v>
      </c>
      <c r="N17" s="3" t="n">
        <v>13707</v>
      </c>
      <c r="O17" s="3" t="n">
        <v>14718</v>
      </c>
      <c r="P17" s="3" t="n">
        <v>12065</v>
      </c>
      <c r="Q17" s="3" t="n">
        <v>8425</v>
      </c>
      <c r="R17" s="3" t="n">
        <v>16492</v>
      </c>
      <c r="S17" s="3" t="n">
        <v>18203</v>
      </c>
      <c r="T17" s="3" t="n">
        <v>18993</v>
      </c>
      <c r="U17" s="3" t="n">
        <v>18963</v>
      </c>
      <c r="V17" s="3" t="n">
        <v>21360</v>
      </c>
      <c r="W17" s="3" t="n">
        <v>22436</v>
      </c>
      <c r="X17" s="3" t="n">
        <v>21208</v>
      </c>
      <c r="Y17" s="3" t="n">
        <v>20000</v>
      </c>
      <c r="Z17" s="3" t="n">
        <v>17850</v>
      </c>
      <c r="AA17" s="3" t="n">
        <v>20561</v>
      </c>
      <c r="AB17" s="3" t="n">
        <v>19590</v>
      </c>
      <c r="AC17" s="3" t="n">
        <v>21687</v>
      </c>
      <c r="AD17" s="3" t="n">
        <v>17799</v>
      </c>
      <c r="AE17" s="3" t="n">
        <v>23950</v>
      </c>
      <c r="AF17" s="3" t="n">
        <v>25081</v>
      </c>
      <c r="AG17" s="3" t="n">
        <v>25261</v>
      </c>
      <c r="AH17" s="3" t="n">
        <v>26381</v>
      </c>
      <c r="AI17" s="3" t="n">
        <v>21603</v>
      </c>
      <c r="AJ17" s="3" t="n">
        <v>30014</v>
      </c>
      <c r="AK17" s="3" t="n">
        <v>23518</v>
      </c>
      <c r="AL17" s="3" t="n">
        <v>21994</v>
      </c>
      <c r="AM17" s="3" t="n">
        <v>19139</v>
      </c>
      <c r="AN17" s="3" t="n">
        <v>18933</v>
      </c>
      <c r="AO17" s="3" t="n">
        <v>15864</v>
      </c>
      <c r="AP17" s="3" t="n">
        <v>17473</v>
      </c>
      <c r="AQ17" s="3" t="n">
        <v>14341</v>
      </c>
      <c r="AR17" s="3" t="n">
        <v>16644</v>
      </c>
      <c r="AS17" s="3" t="n">
        <v>20661</v>
      </c>
      <c r="AT17" s="3" t="n">
        <v>23924</v>
      </c>
      <c r="AU17" s="3" t="n">
        <v>24447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7" sqref="B7"/>
    </sheetView>
  </sheetViews>
  <sheetFormatPr baseColWidth="8" defaultColWidth="9.140625" defaultRowHeight="12.75"/>
  <cols>
    <col width="51.140625" bestFit="1" customWidth="1" style="3" min="1" max="1"/>
    <col width="51.140625" customWidth="1" style="3" min="2" max="2"/>
    <col width="6.42578125" bestFit="1" customWidth="1" style="3" min="3" max="3"/>
    <col width="7.140625" bestFit="1" customWidth="1" style="3" min="4" max="4"/>
    <col width="8" customWidth="1" style="3" min="5" max="7"/>
    <col width="8" bestFit="1" customWidth="1" style="3" min="8" max="9"/>
    <col width="9.140625" customWidth="1" style="3" min="10" max="16384"/>
  </cols>
  <sheetData>
    <row r="1" customFormat="1" s="1">
      <c r="A1" s="1" t="inlineStr">
        <is>
          <t>Ordered but not Diverted (acre-feet)</t>
        </is>
      </c>
      <c r="B1" s="1" t="n">
        <v>2021</v>
      </c>
      <c r="C1" s="1" t="n">
        <v>2020</v>
      </c>
      <c r="D1" s="1" t="n">
        <v>2019</v>
      </c>
      <c r="E1" s="1" t="n">
        <v>2018</v>
      </c>
      <c r="F1" s="1" t="n">
        <v>2017</v>
      </c>
      <c r="G1" s="1" t="n">
        <v>2016</v>
      </c>
      <c r="H1" s="1" t="n">
        <v>2015</v>
      </c>
      <c r="I1" s="1" t="n">
        <v>2014</v>
      </c>
      <c r="J1" s="1" t="n">
        <v>2013</v>
      </c>
      <c r="K1" s="1" t="n">
        <v>2012</v>
      </c>
      <c r="L1" s="1" t="n">
        <v>2011</v>
      </c>
      <c r="M1" s="1" t="n">
        <v>2010</v>
      </c>
      <c r="N1" s="1" t="n">
        <v>2009</v>
      </c>
      <c r="O1" s="1" t="n">
        <v>2008</v>
      </c>
      <c r="P1" s="1" t="n">
        <v>2007</v>
      </c>
      <c r="Q1" s="1" t="n">
        <v>2006</v>
      </c>
      <c r="R1" s="1" t="n">
        <v>2005</v>
      </c>
      <c r="S1" s="1" t="n">
        <v>2004</v>
      </c>
      <c r="T1" s="1" t="n">
        <v>2003</v>
      </c>
      <c r="U1" s="1" t="n">
        <v>2002</v>
      </c>
      <c r="V1" s="1" t="n">
        <v>2001</v>
      </c>
      <c r="W1" s="1" t="n">
        <v>2000</v>
      </c>
      <c r="X1" s="1" t="n">
        <v>1999</v>
      </c>
      <c r="Y1" s="1" t="n">
        <v>1998</v>
      </c>
      <c r="Z1" s="1" t="n">
        <v>1997</v>
      </c>
      <c r="AA1" s="1" t="n">
        <v>1996</v>
      </c>
      <c r="AB1" s="1" t="n">
        <v>1995</v>
      </c>
      <c r="AC1" s="1" t="n">
        <v>1994</v>
      </c>
      <c r="AD1" s="1" t="n">
        <v>1993</v>
      </c>
      <c r="AE1" s="1" t="n">
        <v>1992</v>
      </c>
      <c r="AF1" s="1" t="n">
        <v>1991</v>
      </c>
      <c r="AG1" s="1" t="n">
        <v>1990</v>
      </c>
      <c r="AH1" s="1" t="n">
        <v>1989</v>
      </c>
      <c r="AI1" s="1" t="n">
        <v>1988</v>
      </c>
      <c r="AJ1" s="1" t="n">
        <v>1987</v>
      </c>
      <c r="AK1" s="1" t="n">
        <v>1986</v>
      </c>
      <c r="AL1" s="1" t="n">
        <v>1985</v>
      </c>
      <c r="AM1" s="1" t="n">
        <v>1984</v>
      </c>
      <c r="AN1" s="1" t="n">
        <v>1983</v>
      </c>
      <c r="AO1" s="1" t="n">
        <v>1982</v>
      </c>
      <c r="AP1" s="1" t="n">
        <v>1981</v>
      </c>
      <c r="AQ1" s="1" t="n">
        <v>1980</v>
      </c>
    </row>
    <row r="2" ht="15" customHeight="1" s="4">
      <c r="A2" s="3" t="inlineStr">
        <is>
          <t>Metropolitan Water District of Southern California</t>
        </is>
      </c>
      <c r="B2" s="3" t="n">
        <v>17405</v>
      </c>
      <c r="C2" s="3" t="n">
        <v>38623</v>
      </c>
      <c r="D2" t="n">
        <v>25825</v>
      </c>
      <c r="E2" s="3" t="n">
        <v>67086</v>
      </c>
      <c r="F2" s="3" t="n">
        <v>16188</v>
      </c>
      <c r="G2" s="3" t="n">
        <v>43297</v>
      </c>
      <c r="H2" s="3" t="n">
        <v>31765</v>
      </c>
      <c r="I2" s="3" t="n">
        <v>18214</v>
      </c>
      <c r="J2" s="3" t="n">
        <v>4151</v>
      </c>
      <c r="K2" s="3" t="n">
        <v>8981</v>
      </c>
      <c r="L2" s="3" t="n">
        <v>25583</v>
      </c>
      <c r="M2" s="3" t="n">
        <v>27957</v>
      </c>
      <c r="N2" s="3" t="n">
        <v>68311</v>
      </c>
      <c r="O2" s="3" t="n">
        <v>43486</v>
      </c>
      <c r="P2" s="3" t="n">
        <v>39617</v>
      </c>
      <c r="Q2" s="3" t="n">
        <v>16852</v>
      </c>
      <c r="R2" s="3" t="n">
        <v>45218</v>
      </c>
      <c r="S2" s="3" t="n">
        <v>36421</v>
      </c>
      <c r="T2" s="3" t="n">
        <v>2911</v>
      </c>
      <c r="U2" s="3" t="n">
        <v>20600</v>
      </c>
      <c r="V2" s="3" t="n">
        <v>45100</v>
      </c>
      <c r="W2" s="3" t="n">
        <v>5800</v>
      </c>
      <c r="X2" s="3" t="n">
        <v>36600</v>
      </c>
      <c r="Y2" s="3" t="n">
        <v>39500</v>
      </c>
      <c r="Z2" s="3" t="n">
        <v>4667</v>
      </c>
      <c r="AA2" s="3" t="n">
        <v>46119</v>
      </c>
      <c r="AB2" s="3" t="n">
        <v>48051</v>
      </c>
      <c r="AC2" s="3" t="n">
        <v>25370</v>
      </c>
      <c r="AD2" s="3" t="n">
        <v>33750</v>
      </c>
      <c r="AE2" s="3" t="n">
        <v>4882</v>
      </c>
      <c r="AF2" s="3" t="n">
        <v>4746</v>
      </c>
      <c r="AG2" s="3" t="n">
        <v>25518</v>
      </c>
      <c r="AH2" s="3" t="n">
        <v>2618</v>
      </c>
      <c r="AI2" s="3" t="n">
        <v>16090</v>
      </c>
      <c r="AJ2" s="3" t="n">
        <v>48233</v>
      </c>
      <c r="AK2" s="3" t="n">
        <v>60154</v>
      </c>
      <c r="AL2" s="3" t="n">
        <v>33022</v>
      </c>
      <c r="AM2" s="3" t="n">
        <v>48570</v>
      </c>
      <c r="AN2" s="3" t="n">
        <v>53652</v>
      </c>
      <c r="AO2" s="3" t="n">
        <v>13228</v>
      </c>
      <c r="AP2" s="3" t="n">
        <v>9582</v>
      </c>
      <c r="AQ2" s="3" t="n">
        <v>11082</v>
      </c>
    </row>
    <row r="3" ht="15" customHeight="1" s="4">
      <c r="A3" s="3" t="inlineStr">
        <is>
          <t>Palo Verde Irrigation District</t>
        </is>
      </c>
      <c r="B3" s="3" t="n">
        <v>6224</v>
      </c>
      <c r="C3" s="3" t="n">
        <v>17628</v>
      </c>
      <c r="D3" t="n">
        <v>20297</v>
      </c>
      <c r="E3" s="3" t="n">
        <v>11773</v>
      </c>
      <c r="F3" s="3" t="n">
        <v>9371</v>
      </c>
      <c r="G3" s="3" t="n">
        <v>13709</v>
      </c>
      <c r="H3" s="3" t="n">
        <v>11527</v>
      </c>
      <c r="I3" s="3" t="n">
        <v>8937</v>
      </c>
      <c r="J3" s="3" t="n">
        <v>7289</v>
      </c>
      <c r="K3" s="3" t="n">
        <v>6763</v>
      </c>
      <c r="L3" s="3" t="n">
        <v>9333</v>
      </c>
      <c r="M3" s="3" t="n">
        <v>7773</v>
      </c>
      <c r="N3" s="3" t="n">
        <v>12073</v>
      </c>
      <c r="O3" s="3" t="n">
        <v>11910</v>
      </c>
      <c r="P3" s="3" t="n">
        <v>10433</v>
      </c>
      <c r="Q3" s="3" t="n">
        <v>33072</v>
      </c>
      <c r="R3" s="3" t="n">
        <v>40023</v>
      </c>
      <c r="S3" s="3" t="n">
        <v>19366</v>
      </c>
      <c r="T3" s="3" t="n">
        <v>35532</v>
      </c>
      <c r="U3" s="3" t="n">
        <v>24598</v>
      </c>
      <c r="V3" s="3" t="n">
        <v>34708</v>
      </c>
      <c r="W3" s="3" t="n">
        <v>19200</v>
      </c>
      <c r="X3" s="3" t="n">
        <v>36444</v>
      </c>
      <c r="Y3" s="3" t="n">
        <v>35467</v>
      </c>
      <c r="Z3" s="3" t="n">
        <v>33094</v>
      </c>
      <c r="AA3" s="3" t="n">
        <v>17696</v>
      </c>
      <c r="AB3" s="3" t="n">
        <v>33424</v>
      </c>
      <c r="AC3" s="3" t="n">
        <v>25636</v>
      </c>
      <c r="AD3" s="3" t="n">
        <v>23063</v>
      </c>
      <c r="AE3" s="3" t="n">
        <v>11512</v>
      </c>
      <c r="AF3" s="3" t="n">
        <v>22775</v>
      </c>
      <c r="AG3" s="3" t="n">
        <v>18517</v>
      </c>
      <c r="AH3" s="3" t="n">
        <v>29167</v>
      </c>
      <c r="AI3" s="3" t="n">
        <v>41925</v>
      </c>
      <c r="AJ3" s="3" t="n">
        <v>38104</v>
      </c>
      <c r="AK3" s="3" t="n">
        <v>43975</v>
      </c>
      <c r="AL3" s="3" t="n">
        <v>40844</v>
      </c>
      <c r="AM3" s="3" t="n">
        <v>54400</v>
      </c>
      <c r="AN3" s="3" t="n">
        <v>40250</v>
      </c>
      <c r="AO3" s="3" t="n">
        <v>18344</v>
      </c>
      <c r="AP3" s="3" t="n">
        <v>8370</v>
      </c>
      <c r="AQ3" s="3" t="n">
        <v>8800</v>
      </c>
    </row>
    <row r="4" ht="15" customHeight="1" s="4">
      <c r="A4" s="3" t="inlineStr">
        <is>
          <t>Yuma Project Reservation Division</t>
        </is>
      </c>
      <c r="B4" s="3" t="n">
        <v>23668</v>
      </c>
      <c r="C4" s="3" t="n">
        <v>26761</v>
      </c>
      <c r="D4" t="n">
        <v>31443</v>
      </c>
      <c r="E4" s="3" t="n">
        <v>27134</v>
      </c>
      <c r="F4" s="3" t="n">
        <v>38584</v>
      </c>
      <c r="G4" s="3" t="n">
        <v>39113</v>
      </c>
      <c r="H4" s="3" t="n">
        <v>36233</v>
      </c>
      <c r="I4" s="3" t="n">
        <v>25709</v>
      </c>
      <c r="J4" s="3" t="n">
        <v>26648</v>
      </c>
      <c r="K4" s="3" t="n">
        <v>31631</v>
      </c>
      <c r="L4" s="3" t="n">
        <v>28265</v>
      </c>
      <c r="M4" s="3" t="n">
        <v>32183</v>
      </c>
      <c r="N4" s="3" t="n">
        <v>30091</v>
      </c>
      <c r="O4" s="3" t="n">
        <v>38444</v>
      </c>
      <c r="P4" s="3" t="n">
        <v>34247</v>
      </c>
      <c r="Q4" s="3" t="n">
        <v>38139</v>
      </c>
      <c r="R4" s="3" t="n">
        <v>37110</v>
      </c>
      <c r="S4" s="3" t="n">
        <v>36845</v>
      </c>
      <c r="T4" s="3" t="n">
        <v>46593</v>
      </c>
      <c r="U4" s="3" t="n">
        <v>23678</v>
      </c>
      <c r="V4" s="3" t="n">
        <v>21939</v>
      </c>
      <c r="W4" s="3" t="n">
        <v>24121</v>
      </c>
      <c r="X4" s="3" t="n">
        <v>28574</v>
      </c>
      <c r="Y4" s="3" t="n">
        <v>25868</v>
      </c>
      <c r="Z4" s="3" t="n">
        <v>27401</v>
      </c>
      <c r="AA4" s="3" t="n">
        <v>20527</v>
      </c>
      <c r="AB4" s="3" t="n">
        <v>26775</v>
      </c>
      <c r="AC4" s="3" t="n">
        <v>27419</v>
      </c>
      <c r="AD4" s="3" t="n">
        <v>21833</v>
      </c>
      <c r="AE4" s="3" t="n">
        <v>27363</v>
      </c>
      <c r="AF4" s="3" t="n">
        <v>23317</v>
      </c>
      <c r="AG4" s="3" t="n">
        <v>19493</v>
      </c>
      <c r="AH4" s="3" t="n">
        <v>16162</v>
      </c>
      <c r="AI4" s="3" t="n">
        <v>24011</v>
      </c>
      <c r="AJ4" s="3">
        <f>14844+9626</f>
        <v/>
      </c>
      <c r="AK4" s="3">
        <f>13632+8129</f>
        <v/>
      </c>
      <c r="AL4" s="3">
        <f>12509+7941</f>
        <v/>
      </c>
      <c r="AM4" s="3">
        <f>13961+9431</f>
        <v/>
      </c>
      <c r="AN4" s="3">
        <f>14082+7808</f>
        <v/>
      </c>
      <c r="AO4" s="3">
        <f>12201+9375</f>
        <v/>
      </c>
      <c r="AP4" s="3">
        <f>11958+9806</f>
        <v/>
      </c>
      <c r="AQ4" s="3">
        <f>7564+6285</f>
        <v/>
      </c>
    </row>
    <row r="5" ht="15" customHeight="1" s="4">
      <c r="A5" s="3" t="inlineStr">
        <is>
          <t>Imperial Irrigation District</t>
        </is>
      </c>
      <c r="B5" s="3" t="n">
        <v>192129</v>
      </c>
      <c r="C5" s="3" t="n">
        <v>293845</v>
      </c>
      <c r="D5" t="n">
        <v>263681</v>
      </c>
      <c r="E5" s="3" t="n">
        <v>315256</v>
      </c>
      <c r="F5" s="3" t="n">
        <v>236673</v>
      </c>
      <c r="G5" s="3" t="n">
        <v>302948</v>
      </c>
      <c r="H5" s="3" t="n">
        <v>283611</v>
      </c>
      <c r="I5" s="3" t="n">
        <v>333754</v>
      </c>
      <c r="J5" s="3" t="n">
        <v>286674</v>
      </c>
      <c r="K5" s="3" t="n">
        <v>190873</v>
      </c>
      <c r="L5" s="3" t="n">
        <v>184660</v>
      </c>
      <c r="M5" s="3" t="n">
        <v>304723</v>
      </c>
      <c r="N5" s="3" t="n">
        <v>192668</v>
      </c>
      <c r="O5" s="3" t="n">
        <v>154537</v>
      </c>
      <c r="P5" s="3" t="n">
        <v>105705</v>
      </c>
      <c r="Q5" s="3" t="n">
        <v>116993</v>
      </c>
      <c r="R5" s="3" t="n">
        <v>112347</v>
      </c>
      <c r="S5" s="3" t="n">
        <v>159830</v>
      </c>
      <c r="T5" s="3" t="n">
        <v>109103</v>
      </c>
      <c r="U5" s="3" t="n">
        <v>100995</v>
      </c>
      <c r="V5" s="3" t="n">
        <v>97894</v>
      </c>
      <c r="W5" s="3" t="n">
        <v>92592</v>
      </c>
      <c r="X5" s="3" t="n">
        <v>89871</v>
      </c>
      <c r="Y5" s="3" t="n">
        <v>84117</v>
      </c>
      <c r="Z5" s="3" t="n">
        <v>70434</v>
      </c>
      <c r="AA5" s="3" t="n">
        <v>31745</v>
      </c>
      <c r="AB5" s="3" t="n">
        <v>45222</v>
      </c>
      <c r="AC5" s="3" t="n">
        <v>74513</v>
      </c>
      <c r="AD5" s="3" t="n">
        <v>51341</v>
      </c>
      <c r="AE5" s="3" t="n">
        <v>97015</v>
      </c>
      <c r="AF5" s="3" t="n">
        <v>70344</v>
      </c>
      <c r="AG5" s="3" t="n">
        <v>34381</v>
      </c>
      <c r="AH5" s="3" t="n">
        <v>38040</v>
      </c>
      <c r="AI5" s="3" t="n">
        <v>44795</v>
      </c>
      <c r="AJ5" s="3" t="n">
        <v>47596</v>
      </c>
      <c r="AK5" s="3" t="n">
        <v>69482</v>
      </c>
      <c r="AL5" s="3" t="n">
        <v>59413</v>
      </c>
      <c r="AM5" s="3" t="n">
        <v>46293</v>
      </c>
      <c r="AN5" s="3" t="n">
        <v>132561</v>
      </c>
      <c r="AO5" s="3" t="n">
        <v>57712</v>
      </c>
      <c r="AP5" s="3" t="n">
        <v>48942</v>
      </c>
      <c r="AQ5" s="3" t="n">
        <v>67429</v>
      </c>
    </row>
    <row r="6" ht="15" customHeight="1" s="4">
      <c r="A6" s="3" t="inlineStr">
        <is>
          <t>Coachella Valley Water District</t>
        </is>
      </c>
      <c r="B6" s="3" t="n">
        <v>7941</v>
      </c>
      <c r="C6" s="3" t="n">
        <v>10500</v>
      </c>
      <c r="D6" t="n">
        <v>16109</v>
      </c>
      <c r="E6" s="3" t="n">
        <v>28654</v>
      </c>
      <c r="F6" s="3" t="n">
        <v>22587</v>
      </c>
      <c r="G6" s="3" t="n">
        <v>23353</v>
      </c>
      <c r="H6" s="3" t="n">
        <v>34743</v>
      </c>
      <c r="I6" s="3" t="n">
        <v>43123</v>
      </c>
      <c r="J6" s="3" t="n">
        <v>21410</v>
      </c>
      <c r="K6" s="3" t="n">
        <v>32360</v>
      </c>
      <c r="L6" s="3" t="n">
        <v>43168</v>
      </c>
      <c r="M6" s="3" t="n">
        <v>72246</v>
      </c>
      <c r="N6" s="3" t="n">
        <v>29010</v>
      </c>
      <c r="O6" s="3" t="n">
        <v>38234</v>
      </c>
      <c r="P6" s="3" t="n">
        <v>23842</v>
      </c>
      <c r="Q6" s="3" t="n">
        <v>16567</v>
      </c>
      <c r="R6" s="3" t="n">
        <v>8202</v>
      </c>
      <c r="S6" s="3" t="n">
        <v>15206</v>
      </c>
      <c r="T6" s="3" t="n">
        <v>8480</v>
      </c>
      <c r="U6" s="3" t="n">
        <v>8066</v>
      </c>
      <c r="V6" s="3" t="n">
        <v>8675</v>
      </c>
      <c r="W6" s="3" t="n">
        <v>9635</v>
      </c>
      <c r="X6" s="3" t="n">
        <v>11753</v>
      </c>
      <c r="Y6" s="3" t="n">
        <v>4855</v>
      </c>
      <c r="Z6" s="3" t="n">
        <v>9535</v>
      </c>
      <c r="AA6" s="3" t="n">
        <v>5497</v>
      </c>
      <c r="AB6" s="3" t="n">
        <v>4449</v>
      </c>
      <c r="AC6" s="3" t="n">
        <v>5613</v>
      </c>
      <c r="AD6" s="3" t="n">
        <v>5652</v>
      </c>
      <c r="AE6" s="3" t="n">
        <v>6771</v>
      </c>
      <c r="AF6" s="3" t="n">
        <v>8148</v>
      </c>
      <c r="AG6" s="3" t="n">
        <v>5162</v>
      </c>
      <c r="AH6" s="3" t="n">
        <v>6165</v>
      </c>
      <c r="AI6" s="3" t="n">
        <v>12059</v>
      </c>
      <c r="AJ6" s="3" t="n">
        <v>9607</v>
      </c>
      <c r="AK6" s="3" t="n">
        <v>10359</v>
      </c>
      <c r="AL6" s="3" t="n">
        <v>9684</v>
      </c>
      <c r="AM6" s="3" t="n">
        <v>19337</v>
      </c>
      <c r="AN6" s="3" t="n">
        <v>23344</v>
      </c>
      <c r="AO6" s="3" t="n">
        <v>7457</v>
      </c>
      <c r="AP6" s="3" t="n">
        <v>11590</v>
      </c>
      <c r="AQ6" s="3" t="n">
        <v>15353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15"/>
  <sheetViews>
    <sheetView tabSelected="1" zoomScaleNormal="100" workbookViewId="0">
      <pane xSplit="3" ySplit="1" topLeftCell="D2" activePane="bottomRight" state="frozen"/>
      <selection pane="topRight" activeCell="B1" sqref="B1"/>
      <selection pane="bottomLeft" activeCell="A2" sqref="A2"/>
      <selection pane="bottomRight" activeCell="E8" sqref="E8"/>
    </sheetView>
  </sheetViews>
  <sheetFormatPr baseColWidth="8" defaultColWidth="9.140625" defaultRowHeight="12.75"/>
  <cols>
    <col width="50.42578125" bestFit="1" customWidth="1" style="3" min="1" max="1"/>
    <col width="20" bestFit="1" customWidth="1" style="3" min="2" max="2"/>
    <col width="37.85546875" bestFit="1" customWidth="1" style="3" min="3" max="3"/>
    <col width="37.85546875" customWidth="1" style="3" min="4" max="4"/>
    <col width="6.42578125" customWidth="1" style="3" min="5" max="5"/>
    <col width="6.7109375" bestFit="1" customWidth="1" style="3" min="6" max="6"/>
    <col width="8" customWidth="1" style="3" min="7" max="9"/>
    <col width="8" bestFit="1" customWidth="1" style="3" min="10" max="11"/>
    <col width="9.140625" customWidth="1" style="3" min="12" max="16384"/>
  </cols>
  <sheetData>
    <row r="1" customFormat="1" s="1">
      <c r="A1" s="1" t="inlineStr">
        <is>
          <t>Description</t>
        </is>
      </c>
      <c r="B1" s="1" t="inlineStr">
        <is>
          <t>Origin</t>
        </is>
      </c>
      <c r="C1" s="1" t="inlineStr">
        <is>
          <t>Dest</t>
        </is>
      </c>
      <c r="D1" s="1" t="n">
        <v>2021</v>
      </c>
      <c r="E1" s="1" t="n">
        <v>2020</v>
      </c>
      <c r="F1" s="1" t="n">
        <v>2019</v>
      </c>
      <c r="G1" s="1" t="n">
        <v>2018</v>
      </c>
      <c r="H1" s="1" t="n">
        <v>2017</v>
      </c>
      <c r="I1" s="1" t="n">
        <v>2016</v>
      </c>
      <c r="J1" s="1" t="n">
        <v>2015</v>
      </c>
      <c r="K1" s="1" t="n">
        <v>2014</v>
      </c>
      <c r="L1" s="1" t="n">
        <v>2013</v>
      </c>
      <c r="M1" s="1" t="n">
        <v>2012</v>
      </c>
      <c r="N1" s="1" t="n">
        <v>2011</v>
      </c>
      <c r="O1" s="1" t="n">
        <v>2010</v>
      </c>
      <c r="P1" s="1" t="n">
        <v>2009</v>
      </c>
      <c r="Q1" s="1" t="n">
        <v>2008</v>
      </c>
      <c r="R1" s="1" t="n">
        <v>2007</v>
      </c>
      <c r="S1" s="1" t="n">
        <v>2006</v>
      </c>
      <c r="T1" s="1" t="n">
        <v>2005</v>
      </c>
      <c r="U1" s="1" t="n">
        <v>2004</v>
      </c>
      <c r="V1" s="1" t="n">
        <v>2003</v>
      </c>
      <c r="W1" s="1" t="n">
        <v>2002</v>
      </c>
      <c r="X1" s="1" t="n">
        <v>2001</v>
      </c>
      <c r="Y1" s="1" t="n">
        <v>2000</v>
      </c>
      <c r="Z1" s="1" t="n">
        <v>1999</v>
      </c>
      <c r="AA1" s="1" t="n">
        <v>1998</v>
      </c>
      <c r="AB1" s="1" t="n">
        <v>1997</v>
      </c>
      <c r="AC1" s="1" t="n">
        <v>1996</v>
      </c>
      <c r="AD1" s="1" t="n">
        <v>1995</v>
      </c>
      <c r="AE1" s="1" t="n">
        <v>1994</v>
      </c>
      <c r="AF1" s="1" t="n">
        <v>1993</v>
      </c>
      <c r="AG1" s="1" t="n">
        <v>1992</v>
      </c>
      <c r="AH1" s="1" t="n">
        <v>1991</v>
      </c>
      <c r="AI1" s="1" t="n">
        <v>1990</v>
      </c>
      <c r="AJ1" s="1" t="n">
        <v>1989</v>
      </c>
      <c r="AK1" s="1" t="n">
        <v>1988</v>
      </c>
      <c r="AL1" s="1" t="n">
        <v>1987</v>
      </c>
      <c r="AM1" s="1" t="n">
        <v>1986</v>
      </c>
      <c r="AN1" s="1" t="n">
        <v>1985</v>
      </c>
      <c r="AO1" s="1" t="n">
        <v>1984</v>
      </c>
      <c r="AP1" s="1" t="n">
        <v>1983</v>
      </c>
      <c r="AQ1" s="1" t="n">
        <v>1982</v>
      </c>
      <c r="AR1" s="1" t="n">
        <v>1981</v>
      </c>
      <c r="AS1" s="1" t="n">
        <v>1980</v>
      </c>
    </row>
    <row r="2">
      <c r="A2" s="3" t="inlineStr">
        <is>
          <t>1988 IID/MWD Conservation Agreement</t>
        </is>
      </c>
      <c r="B2" s="3" t="inlineStr">
        <is>
          <t>Imperial Irrigation District</t>
        </is>
      </c>
      <c r="C2" s="3" t="inlineStr">
        <is>
          <t>Metropolitan Water District of Southern California</t>
        </is>
      </c>
      <c r="D2" s="3" t="n">
        <v>90000</v>
      </c>
      <c r="E2" s="3" t="n">
        <v>90000</v>
      </c>
      <c r="F2" s="3" t="n">
        <v>105000</v>
      </c>
      <c r="G2" s="3" t="n">
        <v>105000</v>
      </c>
      <c r="H2" s="3" t="n">
        <v>105000</v>
      </c>
      <c r="I2" s="3" t="n">
        <v>105000</v>
      </c>
      <c r="J2" s="3" t="n">
        <v>107820</v>
      </c>
      <c r="K2" s="3" t="n">
        <v>104100</v>
      </c>
      <c r="L2" s="3" t="n">
        <v>105000</v>
      </c>
      <c r="M2" s="3" t="n">
        <v>104140</v>
      </c>
      <c r="N2" s="3" t="n">
        <v>103940</v>
      </c>
      <c r="O2" s="3" t="n">
        <v>105000</v>
      </c>
      <c r="P2" s="3" t="n">
        <v>105000</v>
      </c>
      <c r="Q2" s="3" t="n">
        <v>105000</v>
      </c>
      <c r="R2" s="3" t="n">
        <v>105000</v>
      </c>
      <c r="S2" s="3" t="n">
        <v>101160</v>
      </c>
      <c r="T2" s="3" t="n">
        <v>101940</v>
      </c>
      <c r="U2" s="3" t="n">
        <v>101900</v>
      </c>
      <c r="V2" s="3" t="n">
        <v>105130</v>
      </c>
      <c r="W2" s="3" t="n">
        <v>104940</v>
      </c>
      <c r="X2" s="3" t="n">
        <v>106880</v>
      </c>
      <c r="Y2" s="3" t="n">
        <v>109460</v>
      </c>
      <c r="Z2" s="3" t="n">
        <v>108500</v>
      </c>
      <c r="AA2" s="3" t="n">
        <v>107160</v>
      </c>
      <c r="AB2" s="3" t="n">
        <v>97740</v>
      </c>
      <c r="AC2" s="3" t="n">
        <v>90880</v>
      </c>
      <c r="AD2" s="3" t="n">
        <v>74570</v>
      </c>
      <c r="AE2" s="3" t="n">
        <v>72870</v>
      </c>
      <c r="AF2" s="3" t="n">
        <v>54830</v>
      </c>
      <c r="AG2" s="3" t="n">
        <v>33929</v>
      </c>
      <c r="AH2" s="3" t="n">
        <v>26700</v>
      </c>
      <c r="AI2" s="3" t="n">
        <v>6110</v>
      </c>
    </row>
    <row r="3">
      <c r="A3" s="3" t="inlineStr">
        <is>
          <t>MWD Reduction for CVWD use</t>
        </is>
      </c>
      <c r="B3" s="3" t="inlineStr">
        <is>
          <t>Metropolitan Water District of Southern California</t>
        </is>
      </c>
      <c r="C3" s="3" t="inlineStr">
        <is>
          <t>Coachella Valley Water District</t>
        </is>
      </c>
      <c r="D3" s="3" t="n">
        <v>15000</v>
      </c>
      <c r="E3" s="3" t="n">
        <v>15000</v>
      </c>
      <c r="F3" s="3" t="n">
        <v>0</v>
      </c>
      <c r="G3" s="3" t="n">
        <v>0</v>
      </c>
      <c r="H3" s="3" t="n">
        <v>0</v>
      </c>
      <c r="I3" s="3" t="n">
        <v>14626</v>
      </c>
      <c r="J3" s="3" t="n">
        <v>6715</v>
      </c>
      <c r="K3" s="3" t="n">
        <v>19795</v>
      </c>
      <c r="L3" s="3" t="n">
        <v>6693</v>
      </c>
      <c r="M3" s="3" t="n">
        <v>10463</v>
      </c>
      <c r="N3" s="3" t="n">
        <v>4000</v>
      </c>
      <c r="O3" s="3" t="n">
        <v>8000</v>
      </c>
      <c r="P3" s="3" t="n">
        <v>12000</v>
      </c>
      <c r="Q3" s="3" t="n">
        <v>16000</v>
      </c>
      <c r="R3" s="3" t="n">
        <v>20000</v>
      </c>
      <c r="S3" s="3" t="n">
        <v>20000</v>
      </c>
      <c r="T3" s="3" t="n">
        <v>20000</v>
      </c>
      <c r="U3" s="3" t="n">
        <v>20000</v>
      </c>
    </row>
    <row r="4" ht="15" customHeight="1" s="4">
      <c r="A4" s="3" t="inlineStr">
        <is>
          <t>Transfer to SDCWA</t>
        </is>
      </c>
      <c r="B4" s="3" t="inlineStr">
        <is>
          <t>Imperial Irrigation District</t>
        </is>
      </c>
      <c r="C4" s="3" t="inlineStr">
        <is>
          <t>San Diego County Water Authority</t>
        </is>
      </c>
      <c r="D4" s="3" t="n">
        <v>205000</v>
      </c>
      <c r="E4" s="3" t="n">
        <v>192500</v>
      </c>
      <c r="F4" t="n">
        <v>160000</v>
      </c>
      <c r="G4" s="3" t="n">
        <v>130000</v>
      </c>
      <c r="H4" s="3" t="n">
        <v>100000</v>
      </c>
      <c r="I4" s="3" t="n">
        <v>100000</v>
      </c>
      <c r="J4" s="3" t="n">
        <v>100000</v>
      </c>
      <c r="K4" s="3" t="n">
        <v>100000</v>
      </c>
      <c r="L4" s="3" t="n">
        <v>100000</v>
      </c>
      <c r="M4" s="3" t="n">
        <v>106722</v>
      </c>
      <c r="N4" s="3" t="n">
        <v>63278</v>
      </c>
      <c r="O4" s="3" t="n">
        <v>70000</v>
      </c>
      <c r="P4" s="3" t="n">
        <v>60000</v>
      </c>
      <c r="Q4" s="3" t="n">
        <v>50000</v>
      </c>
      <c r="R4" s="3" t="n">
        <v>50000</v>
      </c>
      <c r="S4" s="3" t="n">
        <v>40000</v>
      </c>
      <c r="T4" s="3" t="n">
        <v>30000</v>
      </c>
      <c r="U4" s="3" t="n">
        <v>35000</v>
      </c>
    </row>
    <row r="5">
      <c r="A5" s="3" t="inlineStr">
        <is>
          <t>SDCWA Mitigation Transfer</t>
        </is>
      </c>
      <c r="B5" s="3" t="inlineStr">
        <is>
          <t>Imperial Irrigation District</t>
        </is>
      </c>
      <c r="C5" s="3" t="inlineStr">
        <is>
          <t>San Diego County Water Authority</t>
        </is>
      </c>
      <c r="D5" s="3" t="n">
        <v>0</v>
      </c>
      <c r="F5" s="3" t="n">
        <v>0</v>
      </c>
      <c r="G5" s="3" t="n">
        <v>0</v>
      </c>
      <c r="H5" s="3" t="n">
        <v>105311</v>
      </c>
      <c r="I5" s="3" t="n">
        <v>130796</v>
      </c>
      <c r="J5" s="3" t="n">
        <v>153327</v>
      </c>
      <c r="K5" s="3" t="n">
        <v>89168</v>
      </c>
      <c r="L5" s="3" t="n">
        <v>71398</v>
      </c>
      <c r="M5" s="3" t="n">
        <v>15182</v>
      </c>
      <c r="N5" s="3" t="n">
        <v>0</v>
      </c>
      <c r="O5" s="3">
        <f>33761+46546</f>
        <v/>
      </c>
      <c r="P5" s="3" t="n">
        <v>30133</v>
      </c>
      <c r="Q5" s="3" t="n">
        <v>26085</v>
      </c>
      <c r="R5" s="3" t="n">
        <v>25021</v>
      </c>
      <c r="S5" s="3" t="n">
        <v>20000</v>
      </c>
      <c r="T5" s="3" t="n">
        <v>15000</v>
      </c>
      <c r="U5" s="3" t="n">
        <v>14359</v>
      </c>
    </row>
    <row r="6" ht="15" customHeight="1" s="4">
      <c r="A6" s="3" t="inlineStr">
        <is>
          <t>IID Intra-Priority 3 Transfer to CVWD</t>
        </is>
      </c>
      <c r="B6" s="3" t="inlineStr">
        <is>
          <t>Imperial Irrigation District</t>
        </is>
      </c>
      <c r="C6" s="3" t="inlineStr">
        <is>
          <t>Coachella Valley Water District</t>
        </is>
      </c>
      <c r="D6" s="3" t="n">
        <v>78000</v>
      </c>
      <c r="E6" s="3" t="n">
        <v>73000</v>
      </c>
      <c r="F6" t="n">
        <v>68000</v>
      </c>
      <c r="G6" s="3" t="n">
        <v>63000</v>
      </c>
      <c r="H6" s="3" t="n">
        <v>45000</v>
      </c>
      <c r="I6" s="3" t="n">
        <v>41000</v>
      </c>
      <c r="J6" s="3" t="n">
        <v>36000</v>
      </c>
      <c r="K6" s="3" t="n">
        <v>31000</v>
      </c>
      <c r="L6" s="3" t="n">
        <v>26000</v>
      </c>
      <c r="M6" s="3" t="n">
        <v>21000</v>
      </c>
      <c r="N6" s="3" t="n">
        <v>16000</v>
      </c>
      <c r="O6" s="3" t="n">
        <v>6809</v>
      </c>
      <c r="P6" s="3" t="n">
        <v>8000</v>
      </c>
      <c r="Q6" s="3" t="n">
        <v>4000</v>
      </c>
    </row>
    <row r="7">
      <c r="A7" s="3" t="inlineStr">
        <is>
          <t>Coachella GW Storage Return Request</t>
        </is>
      </c>
      <c r="B7" s="3" t="inlineStr">
        <is>
          <t>Coachella Valley Water District</t>
        </is>
      </c>
      <c r="C7" s="3" t="inlineStr">
        <is>
          <t>Imperial Irrigation District</t>
        </is>
      </c>
      <c r="D7" s="3" t="n">
        <v>0</v>
      </c>
      <c r="F7" s="3" t="n"/>
      <c r="M7" s="3" t="n">
        <v>448</v>
      </c>
    </row>
    <row r="8">
      <c r="A8" s="3" t="inlineStr">
        <is>
          <t>Extraordinary Conservation Delivered to MWD</t>
        </is>
      </c>
      <c r="B8" s="3" t="inlineStr">
        <is>
          <t>Imperial Irrigation District</t>
        </is>
      </c>
      <c r="C8" s="3" t="inlineStr">
        <is>
          <t>Metropolitan Water District of Southern California</t>
        </is>
      </c>
      <c r="D8" s="3" t="n">
        <v>0</v>
      </c>
      <c r="F8" s="3" t="n"/>
      <c r="G8" s="3" t="n">
        <v>87594</v>
      </c>
      <c r="H8" s="3" t="n">
        <v>23555</v>
      </c>
      <c r="I8" s="3" t="n">
        <v>56232</v>
      </c>
      <c r="J8" s="3" t="n">
        <v>38313</v>
      </c>
      <c r="K8" s="3" t="n">
        <v>18868</v>
      </c>
    </row>
    <row r="9" ht="15" customHeight="1" s="4">
      <c r="A9" s="3" t="inlineStr">
        <is>
          <t>MWD/PVID Forbearance and Fallowing</t>
        </is>
      </c>
      <c r="B9" s="3" t="inlineStr">
        <is>
          <t>Palo Verde Irrigation District</t>
        </is>
      </c>
      <c r="C9" s="3" t="inlineStr">
        <is>
          <t>Metropolitan Water District of Southern California</t>
        </is>
      </c>
      <c r="D9" s="3" t="n">
        <v>42305</v>
      </c>
      <c r="E9" s="3" t="n">
        <v>43858</v>
      </c>
      <c r="F9" t="n">
        <v>44477</v>
      </c>
      <c r="G9" s="3" t="n">
        <v>95752</v>
      </c>
      <c r="H9" s="3" t="n">
        <v>119379</v>
      </c>
      <c r="I9" s="3" t="n">
        <v>125432</v>
      </c>
      <c r="J9" s="3" t="n">
        <v>94477</v>
      </c>
      <c r="K9" s="3" t="n">
        <v>43010</v>
      </c>
      <c r="L9" s="3" t="n">
        <v>32750</v>
      </c>
      <c r="M9" s="3" t="n">
        <v>73662</v>
      </c>
      <c r="N9" s="3" t="n">
        <v>122216</v>
      </c>
      <c r="O9" s="3" t="n">
        <v>148614</v>
      </c>
      <c r="P9" s="3" t="n">
        <v>144325</v>
      </c>
      <c r="Q9" s="3" t="n">
        <v>94303</v>
      </c>
      <c r="R9" s="3" t="n">
        <v>65310</v>
      </c>
      <c r="S9" s="3" t="n">
        <v>102039</v>
      </c>
      <c r="T9" s="3" t="n">
        <v>108666</v>
      </c>
    </row>
    <row r="10" ht="15" customHeight="1" s="4">
      <c r="A10" s="3" t="inlineStr">
        <is>
          <t>All-American Canal Lining Project: SDCWA Exchange with MWD</t>
        </is>
      </c>
      <c r="B10" s="3" t="inlineStr">
        <is>
          <t>Metropolitan Water District of Southern California</t>
        </is>
      </c>
      <c r="C10" s="3" t="inlineStr">
        <is>
          <t>San Diego County Water Authority</t>
        </is>
      </c>
      <c r="D10" s="3" t="n">
        <v>56200</v>
      </c>
      <c r="E10" s="3" t="n">
        <v>56200</v>
      </c>
      <c r="F10" t="n">
        <v>56200</v>
      </c>
      <c r="G10" s="3" t="n">
        <v>56200</v>
      </c>
      <c r="H10" s="3" t="n">
        <v>56200</v>
      </c>
      <c r="I10" s="3" t="n">
        <v>67700</v>
      </c>
      <c r="J10" s="3" t="n">
        <v>56200</v>
      </c>
      <c r="K10" s="3" t="n">
        <v>56200</v>
      </c>
      <c r="L10" s="3" t="n">
        <v>56200</v>
      </c>
      <c r="M10" s="3" t="n">
        <v>56200</v>
      </c>
      <c r="N10" s="3" t="n">
        <v>56200</v>
      </c>
      <c r="O10" s="3" t="n">
        <v>56200</v>
      </c>
      <c r="P10" s="3" t="n">
        <v>54429</v>
      </c>
      <c r="Q10" s="3" t="n">
        <v>7385</v>
      </c>
    </row>
    <row r="11" ht="15" customHeight="1" s="4">
      <c r="A11" s="3" t="inlineStr">
        <is>
          <t>Coachella Canal Lining Project: SDCWA Exchange with MWD</t>
        </is>
      </c>
      <c r="B11" s="3" t="inlineStr">
        <is>
          <t>Metropolitan Water District of Southern California</t>
        </is>
      </c>
      <c r="C11" s="3" t="inlineStr">
        <is>
          <t>San Diego County Water Authority</t>
        </is>
      </c>
      <c r="D11" s="3" t="n">
        <v>21500</v>
      </c>
      <c r="E11" s="3" t="n">
        <v>21500</v>
      </c>
      <c r="F11" t="n">
        <v>21511</v>
      </c>
      <c r="G11" s="3" t="n">
        <v>21546</v>
      </c>
      <c r="H11" s="3" t="n">
        <v>23126</v>
      </c>
      <c r="I11" s="3" t="n">
        <v>22070</v>
      </c>
      <c r="J11" s="3" t="n">
        <v>23147</v>
      </c>
      <c r="K11" s="3" t="n">
        <v>23923</v>
      </c>
      <c r="L11" s="3" t="n">
        <v>24056</v>
      </c>
      <c r="M11" s="3" t="n">
        <v>23939</v>
      </c>
      <c r="N11" s="3" t="n">
        <v>23765</v>
      </c>
      <c r="O11" s="3" t="n">
        <v>25307</v>
      </c>
      <c r="P11" s="3" t="n">
        <v>25759</v>
      </c>
      <c r="Q11" s="3" t="n">
        <v>23197</v>
      </c>
      <c r="R11" s="3" t="n">
        <v>23125</v>
      </c>
      <c r="S11" s="3" t="n">
        <v>687</v>
      </c>
    </row>
    <row r="12">
      <c r="A12" s="3" t="inlineStr">
        <is>
          <t>Land Fallowing in PVID for CVWD</t>
        </is>
      </c>
      <c r="B12" s="3" t="inlineStr">
        <is>
          <t>Palo Verde Irrigation District</t>
        </is>
      </c>
      <c r="C12" s="3" t="inlineStr">
        <is>
          <t>Coachella Valley Water District</t>
        </is>
      </c>
      <c r="V12" s="3" t="n">
        <v>40590</v>
      </c>
    </row>
    <row r="13">
      <c r="A13" s="3" t="inlineStr">
        <is>
          <t>IID Conservation for Exchange with SDCWA</t>
        </is>
      </c>
      <c r="B13" s="3" t="inlineStr">
        <is>
          <t>Imperial Irrigation District</t>
        </is>
      </c>
      <c r="C13" s="3" t="inlineStr">
        <is>
          <t>San Diego County Water Authority</t>
        </is>
      </c>
      <c r="V13" s="3" t="n">
        <v>3114</v>
      </c>
    </row>
    <row r="14">
      <c r="A14" s="3" t="inlineStr">
        <is>
          <t>MWD Exchange with SDCWA</t>
        </is>
      </c>
      <c r="B14" s="3" t="inlineStr">
        <is>
          <t>Metropolitan Water District of Southern California</t>
        </is>
      </c>
      <c r="C14" s="3" t="inlineStr">
        <is>
          <t>San Diego County Water Authority</t>
        </is>
      </c>
      <c r="V14" s="3" t="n">
        <v>10000</v>
      </c>
    </row>
    <row r="15">
      <c r="A15" s="3" t="inlineStr">
        <is>
          <t>Transfer from SDCWA to MWD (originally from IID)</t>
        </is>
      </c>
      <c r="B15" s="3" t="inlineStr">
        <is>
          <t>San Diego County Water Authority</t>
        </is>
      </c>
      <c r="C15" s="3" t="inlineStr">
        <is>
          <t>Metropolitan Water District of Southern California</t>
        </is>
      </c>
      <c r="O15" s="3" t="n">
        <v>151507</v>
      </c>
      <c r="P15" s="3" t="n">
        <v>140188</v>
      </c>
      <c r="Q15" s="3" t="n">
        <v>80582</v>
      </c>
      <c r="R15" s="3" t="n">
        <v>73125</v>
      </c>
      <c r="S15" s="3" t="n">
        <v>40842</v>
      </c>
      <c r="T15" s="3" t="n">
        <v>30000</v>
      </c>
      <c r="U15" s="3" t="n">
        <v>20000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Nick Hagerty</dc:creator>
  <dcterms:created xmlns:dcterms="http://purl.org/dc/terms/" xmlns:xsi="http://www.w3.org/2001/XMLSchema-instance" xsi:type="dcterms:W3CDTF">2016-07-01T03:37:40Z</dcterms:created>
  <dcterms:modified xmlns:dcterms="http://purl.org/dc/terms/" xmlns:xsi="http://www.w3.org/2001/XMLSchema-instance" xsi:type="dcterms:W3CDTF">2026-07-08T19:42:43Z</dcterms:modified>
  <cp:lastModifiedBy>Jeff Hadachek</cp:lastModifiedBy>
</cp:coreProperties>
</file>